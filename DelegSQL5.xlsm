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estim\"/>
    </mc:Choice>
  </mc:AlternateContent>
  <bookViews>
    <workbookView xWindow="0" yWindow="0" windowWidth="28800" windowHeight="11070" xr2:uid="{00000000-000D-0000-FFFF-FFFF00000000}"/>
  </bookViews>
  <sheets>
    <sheet name="SQL" sheetId="3" r:id="rId1"/>
    <sheet name="JSonRPC" sheetId="4" r:id="rId2"/>
  </sheets>
  <definedNames>
    <definedName name="DatosExternos_1" localSheetId="0" hidden="1">SQL!$D$8:$K$95</definedName>
    <definedName name="STeemSQL" localSheetId="1" hidden="1">JSonRPC!$K$8:$P$140</definedName>
  </definedNames>
  <calcPr calcId="171027"/>
  <pivotCaches>
    <pivotCache cacheId="19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O8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exión1" type="5" refreshedVersion="6" savePassword="1" background="1" saveData="1">
    <dbPr connection="Provider=SQLOLEDB.1;Password=steemit;Persist Security Info=True;User ID=steemit;Initial Catalog=DBSteem;Data Source=sql.steemsql.com;Use Procedure for Prepare=1;Auto Translate=True;Packet Size=4096;Workstation ID=VBOXW7-PC;Use Encryption for Data=False;Tag with column collation when possible=False" command="Select  * from TxDelegateVestingShares where delegator='' or delegatee='muxxybot' order by id desc"/>
  </connection>
  <connection id="2" xr16:uid="{00000000-0015-0000-FFFF-FFFF01000000}" odcFile="C:\Users\DELL\Documents\My Data Sources\STeemSQL.odc" keepAlive="1" name="Conexión11" type="5" refreshedVersion="6" background="1" saveData="1">
    <dbPr connection="Provider=SQLOLEDB.1;Persist Security Info=True;User ID=steemit;Initial Catalog=DBSteem;Data Source=sql.steemsql.com;Use Procedure for Prepare=1;Auto Translate=True;Packet Size=4096;Workstation ID=VBOXW7-PC;Use Encryption for Data=False;Tag with column collation when possible=False" command="Select  * from TxDelegateVestingShares where delegator='' or delegatee='muxxybot' order by id desc"/>
  </connection>
</connections>
</file>

<file path=xl/sharedStrings.xml><?xml version="1.0" encoding="utf-8"?>
<sst xmlns="http://schemas.openxmlformats.org/spreadsheetml/2006/main" count="464" uniqueCount="106">
  <si>
    <t>ID</t>
  </si>
  <si>
    <t>tx_id</t>
  </si>
  <si>
    <t>delegator</t>
  </si>
  <si>
    <t>delegatee</t>
  </si>
  <si>
    <t>vesting_shares</t>
  </si>
  <si>
    <t>timestamp</t>
  </si>
  <si>
    <t>)</t>
  </si>
  <si>
    <t>Delegator</t>
  </si>
  <si>
    <t>Delegatee</t>
  </si>
  <si>
    <t>ateem_per_mvests</t>
  </si>
  <si>
    <t>Steem Power</t>
  </si>
  <si>
    <t>Days since</t>
  </si>
  <si>
    <t>or</t>
  </si>
  <si>
    <t>aggroed</t>
  </si>
  <si>
    <t>gmuxx</t>
  </si>
  <si>
    <t>juliakponsford</t>
  </si>
  <si>
    <t>ethandsmith</t>
  </si>
  <si>
    <t>bex-dk</t>
  </si>
  <si>
    <t>muxxybot</t>
  </si>
  <si>
    <t>lexiconical</t>
  </si>
  <si>
    <t>jonknight</t>
  </si>
  <si>
    <t>twoitguys</t>
  </si>
  <si>
    <t>kubbyelizabeth</t>
  </si>
  <si>
    <t>outerground</t>
  </si>
  <si>
    <t>mayowadavid</t>
  </si>
  <si>
    <t>rye05</t>
  </si>
  <si>
    <t>p-sycophant</t>
  </si>
  <si>
    <t>jassennessaj</t>
  </si>
  <si>
    <t>lisagenaille</t>
  </si>
  <si>
    <t>xyzashu</t>
  </si>
  <si>
    <t>zeartul</t>
  </si>
  <si>
    <t>stevenmosoes</t>
  </si>
  <si>
    <t>rainer.kormann</t>
  </si>
  <si>
    <t>authorofthings</t>
  </si>
  <si>
    <t>michaelcj</t>
  </si>
  <si>
    <t>jrhughes</t>
  </si>
  <si>
    <t>sandstorm</t>
  </si>
  <si>
    <t>stevescoins</t>
  </si>
  <si>
    <t>crimsonclad</t>
  </si>
  <si>
    <t>fitzgibbon</t>
  </si>
  <si>
    <t>fractalizer</t>
  </si>
  <si>
    <t>thetimminator</t>
  </si>
  <si>
    <t>marcovanhassel</t>
  </si>
  <si>
    <t>freyman</t>
  </si>
  <si>
    <t>gazetagaleguia</t>
  </si>
  <si>
    <t>inkatieskitchen</t>
  </si>
  <si>
    <t>soundwavesphoton</t>
  </si>
  <si>
    <t>randomness</t>
  </si>
  <si>
    <t>greatvideos</t>
  </si>
  <si>
    <t>geke</t>
  </si>
  <si>
    <t>sammosk</t>
  </si>
  <si>
    <t>crazybgadventure</t>
  </si>
  <si>
    <t>ackhoo</t>
  </si>
  <si>
    <t>ewkaw</t>
  </si>
  <si>
    <t>kerlund74</t>
  </si>
  <si>
    <t>stellarbelle</t>
  </si>
  <si>
    <t>fabulousfungi</t>
  </si>
  <si>
    <t>jasonbu</t>
  </si>
  <si>
    <t>anarcho-andrei</t>
  </si>
  <si>
    <t>poeticsnake</t>
  </si>
  <si>
    <t>kristyglas</t>
  </si>
  <si>
    <t>thinknzombie</t>
  </si>
  <si>
    <t>andrewgenaille</t>
  </si>
  <si>
    <t>diggerdugg</t>
  </si>
  <si>
    <t>dexpartacus</t>
  </si>
  <si>
    <t>jordibv</t>
  </si>
  <si>
    <t>eliel</t>
  </si>
  <si>
    <t>lenadr</t>
  </si>
  <si>
    <t>gingyptian</t>
  </si>
  <si>
    <t>enjar</t>
  </si>
  <si>
    <t>cheeto.blue</t>
  </si>
  <si>
    <t>bigpanda</t>
  </si>
  <si>
    <t>buzzbeergeek</t>
  </si>
  <si>
    <t>misterakpan</t>
  </si>
  <si>
    <t>judas</t>
  </si>
  <si>
    <t>guttormf</t>
  </si>
  <si>
    <t>dineroconopcion</t>
  </si>
  <si>
    <t>onlineprds</t>
  </si>
  <si>
    <t>an0nkn0wledge</t>
  </si>
  <si>
    <t>eturnerx</t>
  </si>
  <si>
    <t>hypexals-spiral</t>
  </si>
  <si>
    <t>gpenco</t>
  </si>
  <si>
    <t>finance2nomad</t>
  </si>
  <si>
    <t>netuoso</t>
  </si>
  <si>
    <t>abh12345</t>
  </si>
  <si>
    <t>jraysteem</t>
  </si>
  <si>
    <t>valderrama</t>
  </si>
  <si>
    <t>misko</t>
  </si>
  <si>
    <t>cmdrago</t>
  </si>
  <si>
    <t>konstantint</t>
  </si>
  <si>
    <t>stitchybitch</t>
  </si>
  <si>
    <t>barbara-orenya</t>
  </si>
  <si>
    <t>elautomatico</t>
  </si>
  <si>
    <t>unprovoked</t>
  </si>
  <si>
    <t>discordiant</t>
  </si>
  <si>
    <t>cryptobeard</t>
  </si>
  <si>
    <t>pilcrow</t>
  </si>
  <si>
    <t>jesse2you</t>
  </si>
  <si>
    <t>cristof</t>
  </si>
  <si>
    <t>swelker101</t>
  </si>
  <si>
    <t>isaria</t>
  </si>
  <si>
    <t>Total</t>
  </si>
  <si>
    <t>SP</t>
  </si>
  <si>
    <t>Etiquetas de fila</t>
  </si>
  <si>
    <t>Total general</t>
  </si>
  <si>
    <t>Suma de Steem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</si>
</sst>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6"/>
      <color theme="1"/>
      <name val="Andalus"/>
      <family val="1"/>
    </font>
    <font>
      <sz val="14"/>
      <color theme="1"/>
      <name val="Andalus"/>
      <family val="1"/>
    </font>
    <font>
      <sz val="18"/>
      <color theme="1"/>
      <name val="Andalus"/>
      <family val="1"/>
    </font>
    <font>
      <sz val="16"/>
      <color theme="1"/>
      <name val="Calibri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3"/>
        </stop>
        <stop position="1">
          <color theme="1"/>
        </stop>
      </gradientFill>
    </fill>
    <fill>
      <gradientFill degree="90">
        <stop position="0">
          <color theme="0"/>
        </stop>
        <stop position="1">
          <color theme="4" tint="0.80001220740379042"/>
        </stop>
      </gradientFill>
    </fill>
    <fill>
      <patternFill patternType="solid">
        <fgColor theme="2" tint="-0.2499465926084170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22" fontId="0" fillId="0" borderId="0" xfId="0" applyNumberFormat="1"/>
    <xf numFmtId="0" fontId="1" fillId="0" borderId="0" xfId="0" applyFont="1" applyAlignment="1">
      <alignment horizontal="center" vertical="center"/>
    </xf>
    <xf numFmtId="0" fontId="0" fillId="4" borderId="0" xfId="0" applyFill="1" applyAlignment="1"/>
    <xf numFmtId="0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left"/>
    </xf>
    <xf numFmtId="0" fontId="0" fillId="5" borderId="0" xfId="0" applyFill="1" applyBorder="1" applyAlignment="1"/>
    <xf numFmtId="0" fontId="0" fillId="5" borderId="2" xfId="0" applyFill="1" applyBorder="1" applyAlignment="1"/>
    <xf numFmtId="0" fontId="0" fillId="5" borderId="3" xfId="0" applyFill="1" applyBorder="1" applyAlignment="1"/>
    <xf numFmtId="0" fontId="0" fillId="5" borderId="4" xfId="0" applyFill="1" applyBorder="1" applyAlignment="1"/>
    <xf numFmtId="0" fontId="0" fillId="5" borderId="5" xfId="0" applyFill="1" applyBorder="1" applyAlignment="1"/>
    <xf numFmtId="0" fontId="0" fillId="5" borderId="6" xfId="0" applyFill="1" applyBorder="1" applyAlignment="1"/>
    <xf numFmtId="0" fontId="1" fillId="2" borderId="1" xfId="0" applyFont="1" applyFill="1" applyBorder="1" applyAlignment="1">
      <alignment horizontal="center" vertical="center"/>
    </xf>
    <xf numFmtId="4" fontId="3" fillId="6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4" fontId="1" fillId="6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</cellXfs>
  <cellStyles count="1">
    <cellStyle name="Normal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 Light"/>
        <family val="2"/>
        <scheme val="none"/>
      </font>
      <alignment horizontal="center" vertical="bottom" textRotation="0" wrapText="0" indent="0" justifyLastLine="0" shrinkToFit="0" readingOrder="0"/>
    </dxf>
    <dxf>
      <numFmt numFmtId="165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75251568505828"/>
          <c:y val="8.7697528479444078E-2"/>
          <c:w val="0.72144293479987176"/>
          <c:h val="0.6455895839416359"/>
        </c:manualLayout>
      </c:layout>
      <c:pieChart>
        <c:varyColors val="1"/>
        <c:ser>
          <c:idx val="0"/>
          <c:order val="0"/>
          <c:tx>
            <c:strRef>
              <c:f>SQL!$F$8</c:f>
              <c:strCache>
                <c:ptCount val="1"/>
                <c:pt idx="0">
                  <c:v>delegator</c:v>
                </c:pt>
              </c:strCache>
            </c:strRef>
          </c:tx>
          <c:explosion val="39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F7C-4522-B019-1A0938A8B6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F7C-4522-B019-1A0938A8B6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F7C-4522-B019-1A0938A8B6E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F7C-4522-B019-1A0938A8B6E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F7C-4522-B019-1A0938A8B6E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F7C-4522-B019-1A0938A8B6E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F7C-4522-B019-1A0938A8B6E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F7C-4522-B019-1A0938A8B6E0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F7C-4522-B019-1A0938A8B6E0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F7C-4522-B019-1A0938A8B6E0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F7C-4522-B019-1A0938A8B6E0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F7C-4522-B019-1A0938A8B6E0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F7C-4522-B019-1A0938A8B6E0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FF7C-4522-B019-1A0938A8B6E0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FF7C-4522-B019-1A0938A8B6E0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FF7C-4522-B019-1A0938A8B6E0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FF7C-4522-B019-1A0938A8B6E0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FF7C-4522-B019-1A0938A8B6E0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FF7C-4522-B019-1A0938A8B6E0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FF7C-4522-B019-1A0938A8B6E0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FF7C-4522-B019-1A0938A8B6E0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FF7C-4522-B019-1A0938A8B6E0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FF7C-4522-B019-1A0938A8B6E0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FF7C-4522-B019-1A0938A8B6E0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FF7C-4522-B019-1A0938A8B6E0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FF7C-4522-B019-1A0938A8B6E0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FF7C-4522-B019-1A0938A8B6E0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FF7C-4522-B019-1A0938A8B6E0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FF7C-4522-B019-1A0938A8B6E0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FF7C-4522-B019-1A0938A8B6E0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FF7C-4522-B019-1A0938A8B6E0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FF7C-4522-B019-1A0938A8B6E0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FF7C-4522-B019-1A0938A8B6E0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FF7C-4522-B019-1A0938A8B6E0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FF7C-4522-B019-1A0938A8B6E0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FF7C-4522-B019-1A0938A8B6E0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FF7C-4522-B019-1A0938A8B6E0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FF7C-4522-B019-1A0938A8B6E0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FF7C-4522-B019-1A0938A8B6E0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FF7C-4522-B019-1A0938A8B6E0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FF7C-4522-B019-1A0938A8B6E0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FF7C-4522-B019-1A0938A8B6E0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FF7C-4522-B019-1A0938A8B6E0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FF7C-4522-B019-1A0938A8B6E0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FF7C-4522-B019-1A0938A8B6E0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FF7C-4522-B019-1A0938A8B6E0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FF7C-4522-B019-1A0938A8B6E0}"/>
              </c:ext>
            </c:extLst>
          </c:dPt>
          <c:dPt>
            <c:idx val="47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FF7C-4522-B019-1A0938A8B6E0}"/>
              </c:ext>
            </c:extLst>
          </c:dPt>
          <c:dPt>
            <c:idx val="48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FF7C-4522-B019-1A0938A8B6E0}"/>
              </c:ext>
            </c:extLst>
          </c:dPt>
          <c:dPt>
            <c:idx val="49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FF7C-4522-B019-1A0938A8B6E0}"/>
              </c:ext>
            </c:extLst>
          </c:dPt>
          <c:dPt>
            <c:idx val="50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FF7C-4522-B019-1A0938A8B6E0}"/>
              </c:ext>
            </c:extLst>
          </c:dPt>
          <c:dPt>
            <c:idx val="51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FF7C-4522-B019-1A0938A8B6E0}"/>
              </c:ext>
            </c:extLst>
          </c:dPt>
          <c:dPt>
            <c:idx val="52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FF7C-4522-B019-1A0938A8B6E0}"/>
              </c:ext>
            </c:extLst>
          </c:dPt>
          <c:dPt>
            <c:idx val="53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FF7C-4522-B019-1A0938A8B6E0}"/>
              </c:ext>
            </c:extLst>
          </c:dPt>
          <c:dPt>
            <c:idx val="54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FF7C-4522-B019-1A0938A8B6E0}"/>
              </c:ext>
            </c:extLst>
          </c:dPt>
          <c:dPt>
            <c:idx val="55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FF7C-4522-B019-1A0938A8B6E0}"/>
              </c:ext>
            </c:extLst>
          </c:dPt>
          <c:dPt>
            <c:idx val="56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FF7C-4522-B019-1A0938A8B6E0}"/>
              </c:ext>
            </c:extLst>
          </c:dPt>
          <c:dPt>
            <c:idx val="57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FF7C-4522-B019-1A0938A8B6E0}"/>
              </c:ext>
            </c:extLst>
          </c:dPt>
          <c:dPt>
            <c:idx val="58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FF7C-4522-B019-1A0938A8B6E0}"/>
              </c:ext>
            </c:extLst>
          </c:dPt>
          <c:dPt>
            <c:idx val="59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FF7C-4522-B019-1A0938A8B6E0}"/>
              </c:ext>
            </c:extLst>
          </c:dPt>
          <c:dPt>
            <c:idx val="60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FF7C-4522-B019-1A0938A8B6E0}"/>
              </c:ext>
            </c:extLst>
          </c:dPt>
          <c:dPt>
            <c:idx val="61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FF7C-4522-B019-1A0938A8B6E0}"/>
              </c:ext>
            </c:extLst>
          </c:dPt>
          <c:dPt>
            <c:idx val="62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FF7C-4522-B019-1A0938A8B6E0}"/>
              </c:ext>
            </c:extLst>
          </c:dPt>
          <c:dPt>
            <c:idx val="63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FF7C-4522-B019-1A0938A8B6E0}"/>
              </c:ext>
            </c:extLst>
          </c:dPt>
          <c:dPt>
            <c:idx val="6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FF7C-4522-B019-1A0938A8B6E0}"/>
              </c:ext>
            </c:extLst>
          </c:dPt>
          <c:dPt>
            <c:idx val="6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FF7C-4522-B019-1A0938A8B6E0}"/>
              </c:ext>
            </c:extLst>
          </c:dPt>
          <c:dPt>
            <c:idx val="66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FF7C-4522-B019-1A0938A8B6E0}"/>
              </c:ext>
            </c:extLst>
          </c:dPt>
          <c:dPt>
            <c:idx val="67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FF7C-4522-B019-1A0938A8B6E0}"/>
              </c:ext>
            </c:extLst>
          </c:dPt>
          <c:dPt>
            <c:idx val="68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FF7C-4522-B019-1A0938A8B6E0}"/>
              </c:ext>
            </c:extLst>
          </c:dPt>
          <c:dPt>
            <c:idx val="69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FF7C-4522-B019-1A0938A8B6E0}"/>
              </c:ext>
            </c:extLst>
          </c:dPt>
          <c:dPt>
            <c:idx val="70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FF7C-4522-B019-1A0938A8B6E0}"/>
              </c:ext>
            </c:extLst>
          </c:dPt>
          <c:dPt>
            <c:idx val="71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FF7C-4522-B019-1A0938A8B6E0}"/>
              </c:ext>
            </c:extLst>
          </c:dPt>
          <c:dPt>
            <c:idx val="7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FF7C-4522-B019-1A0938A8B6E0}"/>
              </c:ext>
            </c:extLst>
          </c:dPt>
          <c:dPt>
            <c:idx val="7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FF7C-4522-B019-1A0938A8B6E0}"/>
              </c:ext>
            </c:extLst>
          </c:dPt>
          <c:dPt>
            <c:idx val="7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FF7C-4522-B019-1A0938A8B6E0}"/>
              </c:ext>
            </c:extLst>
          </c:dPt>
          <c:dPt>
            <c:idx val="7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FF7C-4522-B019-1A0938A8B6E0}"/>
              </c:ext>
            </c:extLst>
          </c:dPt>
          <c:dPt>
            <c:idx val="7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FF7C-4522-B019-1A0938A8B6E0}"/>
              </c:ext>
            </c:extLst>
          </c:dPt>
          <c:dPt>
            <c:idx val="7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FF7C-4522-B019-1A0938A8B6E0}"/>
              </c:ext>
            </c:extLst>
          </c:dPt>
          <c:dPt>
            <c:idx val="78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FF7C-4522-B019-1A0938A8B6E0}"/>
              </c:ext>
            </c:extLst>
          </c:dPt>
          <c:dPt>
            <c:idx val="79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FF7C-4522-B019-1A0938A8B6E0}"/>
              </c:ext>
            </c:extLst>
          </c:dPt>
          <c:dPt>
            <c:idx val="80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FF7C-4522-B019-1A0938A8B6E0}"/>
              </c:ext>
            </c:extLst>
          </c:dPt>
          <c:dPt>
            <c:idx val="81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FF7C-4522-B019-1A0938A8B6E0}"/>
              </c:ext>
            </c:extLst>
          </c:dPt>
          <c:dPt>
            <c:idx val="82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FF7C-4522-B019-1A0938A8B6E0}"/>
              </c:ext>
            </c:extLst>
          </c:dPt>
          <c:dPt>
            <c:idx val="8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FF7C-4522-B019-1A0938A8B6E0}"/>
              </c:ext>
            </c:extLst>
          </c:dPt>
          <c:dPt>
            <c:idx val="84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FF7C-4522-B019-1A0938A8B6E0}"/>
              </c:ext>
            </c:extLst>
          </c:dPt>
          <c:dPt>
            <c:idx val="85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FF7C-4522-B019-1A0938A8B6E0}"/>
              </c:ext>
            </c:extLst>
          </c:dPt>
          <c:dPt>
            <c:idx val="86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FF7C-4522-B019-1A0938A8B6E0}"/>
              </c:ext>
            </c:extLst>
          </c:dPt>
          <c:cat>
            <c:strRef>
              <c:f>SQL!$F$9:$F$95</c:f>
              <c:strCache>
                <c:ptCount val="87"/>
                <c:pt idx="0">
                  <c:v>lexiconical</c:v>
                </c:pt>
                <c:pt idx="1">
                  <c:v>jonknight</c:v>
                </c:pt>
                <c:pt idx="2">
                  <c:v>gmuxx</c:v>
                </c:pt>
                <c:pt idx="3">
                  <c:v>twoitguys</c:v>
                </c:pt>
                <c:pt idx="4">
                  <c:v>kubbyelizabeth</c:v>
                </c:pt>
                <c:pt idx="5">
                  <c:v>outerground</c:v>
                </c:pt>
                <c:pt idx="6">
                  <c:v>mayowadavid</c:v>
                </c:pt>
                <c:pt idx="7">
                  <c:v>rye05</c:v>
                </c:pt>
                <c:pt idx="8">
                  <c:v>p-sycophant</c:v>
                </c:pt>
                <c:pt idx="9">
                  <c:v>jassennessaj</c:v>
                </c:pt>
                <c:pt idx="10">
                  <c:v>ethandsmith</c:v>
                </c:pt>
                <c:pt idx="11">
                  <c:v>lisagenaille</c:v>
                </c:pt>
                <c:pt idx="12">
                  <c:v>xyzashu</c:v>
                </c:pt>
                <c:pt idx="13">
                  <c:v>zeartul</c:v>
                </c:pt>
                <c:pt idx="14">
                  <c:v>stevenmosoes</c:v>
                </c:pt>
                <c:pt idx="15">
                  <c:v>rainer.kormann</c:v>
                </c:pt>
                <c:pt idx="16">
                  <c:v>authorofthings</c:v>
                </c:pt>
                <c:pt idx="17">
                  <c:v>michaelcj</c:v>
                </c:pt>
                <c:pt idx="18">
                  <c:v>jrhughes</c:v>
                </c:pt>
                <c:pt idx="19">
                  <c:v>sandstorm</c:v>
                </c:pt>
                <c:pt idx="20">
                  <c:v>stevescoins</c:v>
                </c:pt>
                <c:pt idx="21">
                  <c:v>crimsonclad</c:v>
                </c:pt>
                <c:pt idx="22">
                  <c:v>fitzgibbon</c:v>
                </c:pt>
                <c:pt idx="23">
                  <c:v>fractalizer</c:v>
                </c:pt>
                <c:pt idx="24">
                  <c:v>thetimminator</c:v>
                </c:pt>
                <c:pt idx="25">
                  <c:v>marcovanhassel</c:v>
                </c:pt>
                <c:pt idx="26">
                  <c:v>freyman</c:v>
                </c:pt>
                <c:pt idx="27">
                  <c:v>gazetagaleguia</c:v>
                </c:pt>
                <c:pt idx="28">
                  <c:v>inkatieskitchen</c:v>
                </c:pt>
                <c:pt idx="29">
                  <c:v>soundwavesphoton</c:v>
                </c:pt>
                <c:pt idx="30">
                  <c:v>randomness</c:v>
                </c:pt>
                <c:pt idx="31">
                  <c:v>greatvideos</c:v>
                </c:pt>
                <c:pt idx="32">
                  <c:v>geke</c:v>
                </c:pt>
                <c:pt idx="33">
                  <c:v>bex-dk</c:v>
                </c:pt>
                <c:pt idx="34">
                  <c:v>sammosk</c:v>
                </c:pt>
                <c:pt idx="35">
                  <c:v>crazybgadventure</c:v>
                </c:pt>
                <c:pt idx="36">
                  <c:v>ackhoo</c:v>
                </c:pt>
                <c:pt idx="37">
                  <c:v>ewkaw</c:v>
                </c:pt>
                <c:pt idx="38">
                  <c:v>kerlund74</c:v>
                </c:pt>
                <c:pt idx="39">
                  <c:v>stellarbelle</c:v>
                </c:pt>
                <c:pt idx="40">
                  <c:v>fabulousfungi</c:v>
                </c:pt>
                <c:pt idx="41">
                  <c:v>jasonbu</c:v>
                </c:pt>
                <c:pt idx="42">
                  <c:v>anarcho-andrei</c:v>
                </c:pt>
                <c:pt idx="43">
                  <c:v>poeticsnake</c:v>
                </c:pt>
                <c:pt idx="44">
                  <c:v>kristyglas</c:v>
                </c:pt>
                <c:pt idx="45">
                  <c:v>thinknzombie</c:v>
                </c:pt>
                <c:pt idx="46">
                  <c:v>andrewgenaille</c:v>
                </c:pt>
                <c:pt idx="47">
                  <c:v>diggerdugg</c:v>
                </c:pt>
                <c:pt idx="48">
                  <c:v>dexpartacus</c:v>
                </c:pt>
                <c:pt idx="49">
                  <c:v>jordibv</c:v>
                </c:pt>
                <c:pt idx="50">
                  <c:v>aggroed</c:v>
                </c:pt>
                <c:pt idx="51">
                  <c:v>eliel</c:v>
                </c:pt>
                <c:pt idx="52">
                  <c:v>lenadr</c:v>
                </c:pt>
                <c:pt idx="53">
                  <c:v>gingyptian</c:v>
                </c:pt>
                <c:pt idx="54">
                  <c:v>enjar</c:v>
                </c:pt>
                <c:pt idx="55">
                  <c:v>cheeto.blue</c:v>
                </c:pt>
                <c:pt idx="56">
                  <c:v>bigpanda</c:v>
                </c:pt>
                <c:pt idx="57">
                  <c:v>buzzbeergeek</c:v>
                </c:pt>
                <c:pt idx="58">
                  <c:v>juliakponsford</c:v>
                </c:pt>
                <c:pt idx="59">
                  <c:v>misterakpan</c:v>
                </c:pt>
                <c:pt idx="60">
                  <c:v>judas</c:v>
                </c:pt>
                <c:pt idx="61">
                  <c:v>guttormf</c:v>
                </c:pt>
                <c:pt idx="62">
                  <c:v>dineroconopcion</c:v>
                </c:pt>
                <c:pt idx="63">
                  <c:v>onlineprds</c:v>
                </c:pt>
                <c:pt idx="64">
                  <c:v>an0nkn0wledge</c:v>
                </c:pt>
                <c:pt idx="65">
                  <c:v>eturnerx</c:v>
                </c:pt>
                <c:pt idx="66">
                  <c:v>hypexals-spiral</c:v>
                </c:pt>
                <c:pt idx="67">
                  <c:v>gpenco</c:v>
                </c:pt>
                <c:pt idx="68">
                  <c:v>finance2nomad</c:v>
                </c:pt>
                <c:pt idx="69">
                  <c:v>netuoso</c:v>
                </c:pt>
                <c:pt idx="70">
                  <c:v>abh12345</c:v>
                </c:pt>
                <c:pt idx="71">
                  <c:v>jraysteem</c:v>
                </c:pt>
                <c:pt idx="72">
                  <c:v>valderrama</c:v>
                </c:pt>
                <c:pt idx="73">
                  <c:v>misko</c:v>
                </c:pt>
                <c:pt idx="74">
                  <c:v>cmdrago</c:v>
                </c:pt>
                <c:pt idx="75">
                  <c:v>konstantint</c:v>
                </c:pt>
                <c:pt idx="76">
                  <c:v>stitchybitch</c:v>
                </c:pt>
                <c:pt idx="77">
                  <c:v>barbara-orenya</c:v>
                </c:pt>
                <c:pt idx="78">
                  <c:v>elautomatico</c:v>
                </c:pt>
                <c:pt idx="79">
                  <c:v>unprovoked</c:v>
                </c:pt>
                <c:pt idx="80">
                  <c:v>discordiant</c:v>
                </c:pt>
                <c:pt idx="81">
                  <c:v>cryptobeard</c:v>
                </c:pt>
                <c:pt idx="82">
                  <c:v>pilcrow</c:v>
                </c:pt>
                <c:pt idx="83">
                  <c:v>jesse2you</c:v>
                </c:pt>
                <c:pt idx="84">
                  <c:v>cristof</c:v>
                </c:pt>
                <c:pt idx="85">
                  <c:v>swelker101</c:v>
                </c:pt>
                <c:pt idx="86">
                  <c:v>isaria</c:v>
                </c:pt>
              </c:strCache>
            </c:strRef>
          </c:cat>
          <c:val>
            <c:numRef>
              <c:f>SQL!$H$9:$H$95</c:f>
              <c:numCache>
                <c:formatCode>0.00</c:formatCode>
                <c:ptCount val="87"/>
                <c:pt idx="0">
                  <c:v>0</c:v>
                </c:pt>
                <c:pt idx="1">
                  <c:v>51.5</c:v>
                </c:pt>
                <c:pt idx="2">
                  <c:v>0</c:v>
                </c:pt>
                <c:pt idx="3">
                  <c:v>0</c:v>
                </c:pt>
                <c:pt idx="4">
                  <c:v>154.01465304999999</c:v>
                </c:pt>
                <c:pt idx="5">
                  <c:v>10.27037625</c:v>
                </c:pt>
                <c:pt idx="6">
                  <c:v>10.27291945</c:v>
                </c:pt>
                <c:pt idx="7">
                  <c:v>10.34089805</c:v>
                </c:pt>
                <c:pt idx="8">
                  <c:v>10.273648699999999</c:v>
                </c:pt>
                <c:pt idx="9">
                  <c:v>0</c:v>
                </c:pt>
                <c:pt idx="10">
                  <c:v>52.142000000000003</c:v>
                </c:pt>
                <c:pt idx="11">
                  <c:v>103.4703971</c:v>
                </c:pt>
                <c:pt idx="12">
                  <c:v>10.282817300000001</c:v>
                </c:pt>
                <c:pt idx="13">
                  <c:v>0</c:v>
                </c:pt>
                <c:pt idx="14">
                  <c:v>10.34089805</c:v>
                </c:pt>
                <c:pt idx="15">
                  <c:v>0</c:v>
                </c:pt>
                <c:pt idx="16">
                  <c:v>10.28574555</c:v>
                </c:pt>
                <c:pt idx="17">
                  <c:v>10.34089805</c:v>
                </c:pt>
                <c:pt idx="18">
                  <c:v>180.10734299999999</c:v>
                </c:pt>
                <c:pt idx="19">
                  <c:v>0</c:v>
                </c:pt>
                <c:pt idx="20">
                  <c:v>0</c:v>
                </c:pt>
                <c:pt idx="21">
                  <c:v>102.9624965</c:v>
                </c:pt>
                <c:pt idx="22">
                  <c:v>21.585999999999999</c:v>
                </c:pt>
                <c:pt idx="23">
                  <c:v>10.30012325</c:v>
                </c:pt>
                <c:pt idx="24">
                  <c:v>10.3024881</c:v>
                </c:pt>
                <c:pt idx="25">
                  <c:v>10.303229300000002</c:v>
                </c:pt>
                <c:pt idx="26">
                  <c:v>11.335053400000001</c:v>
                </c:pt>
                <c:pt idx="27">
                  <c:v>11.3350875</c:v>
                </c:pt>
                <c:pt idx="28">
                  <c:v>10.305254250000001</c:v>
                </c:pt>
                <c:pt idx="29">
                  <c:v>0</c:v>
                </c:pt>
                <c:pt idx="30">
                  <c:v>10.3062808</c:v>
                </c:pt>
                <c:pt idx="31">
                  <c:v>206.1354585</c:v>
                </c:pt>
                <c:pt idx="32">
                  <c:v>0</c:v>
                </c:pt>
                <c:pt idx="33">
                  <c:v>25.769548449999998</c:v>
                </c:pt>
                <c:pt idx="34">
                  <c:v>0</c:v>
                </c:pt>
                <c:pt idx="35">
                  <c:v>0</c:v>
                </c:pt>
                <c:pt idx="36">
                  <c:v>10.3087254</c:v>
                </c:pt>
                <c:pt idx="37">
                  <c:v>10.309859149999999</c:v>
                </c:pt>
                <c:pt idx="38">
                  <c:v>20.6222055</c:v>
                </c:pt>
                <c:pt idx="39">
                  <c:v>2.0622330499999997</c:v>
                </c:pt>
                <c:pt idx="40">
                  <c:v>20.622702750000002</c:v>
                </c:pt>
                <c:pt idx="41">
                  <c:v>25.779676250000001</c:v>
                </c:pt>
                <c:pt idx="42">
                  <c:v>103.1223225</c:v>
                </c:pt>
                <c:pt idx="43">
                  <c:v>103.13654175000001</c:v>
                </c:pt>
                <c:pt idx="44">
                  <c:v>10.3137747</c:v>
                </c:pt>
                <c:pt idx="45">
                  <c:v>10.3138548</c:v>
                </c:pt>
                <c:pt idx="46">
                  <c:v>103.4703971</c:v>
                </c:pt>
                <c:pt idx="47">
                  <c:v>72.199332499999997</c:v>
                </c:pt>
                <c:pt idx="48">
                  <c:v>0</c:v>
                </c:pt>
                <c:pt idx="49">
                  <c:v>0</c:v>
                </c:pt>
                <c:pt idx="50">
                  <c:v>103.15292885</c:v>
                </c:pt>
                <c:pt idx="51">
                  <c:v>15.472996950000001</c:v>
                </c:pt>
                <c:pt idx="52">
                  <c:v>103.15339965000001</c:v>
                </c:pt>
                <c:pt idx="53">
                  <c:v>0</c:v>
                </c:pt>
                <c:pt idx="54">
                  <c:v>0</c:v>
                </c:pt>
                <c:pt idx="55">
                  <c:v>10.3166627</c:v>
                </c:pt>
                <c:pt idx="56">
                  <c:v>10.319659</c:v>
                </c:pt>
                <c:pt idx="57">
                  <c:v>113.5167549</c:v>
                </c:pt>
                <c:pt idx="58">
                  <c:v>72.251792350000002</c:v>
                </c:pt>
                <c:pt idx="59">
                  <c:v>10.3234277</c:v>
                </c:pt>
                <c:pt idx="60">
                  <c:v>10.32398585</c:v>
                </c:pt>
                <c:pt idx="61">
                  <c:v>10.9925</c:v>
                </c:pt>
                <c:pt idx="62">
                  <c:v>258.12605454999999</c:v>
                </c:pt>
                <c:pt idx="63">
                  <c:v>10.32582625</c:v>
                </c:pt>
                <c:pt idx="64">
                  <c:v>154.89039175000002</c:v>
                </c:pt>
                <c:pt idx="65">
                  <c:v>129.07988835</c:v>
                </c:pt>
                <c:pt idx="66">
                  <c:v>10.757</c:v>
                </c:pt>
                <c:pt idx="67">
                  <c:v>103.2789235</c:v>
                </c:pt>
                <c:pt idx="68">
                  <c:v>10.328521650000001</c:v>
                </c:pt>
                <c:pt idx="69">
                  <c:v>0</c:v>
                </c:pt>
                <c:pt idx="70">
                  <c:v>25.824568899999999</c:v>
                </c:pt>
                <c:pt idx="71">
                  <c:v>10.330847050000001</c:v>
                </c:pt>
                <c:pt idx="72">
                  <c:v>10.33097955</c:v>
                </c:pt>
                <c:pt idx="73">
                  <c:v>10.331007900000001</c:v>
                </c:pt>
                <c:pt idx="74">
                  <c:v>10.33103865</c:v>
                </c:pt>
                <c:pt idx="75">
                  <c:v>10.331133400000001</c:v>
                </c:pt>
                <c:pt idx="76">
                  <c:v>10.333678449999999</c:v>
                </c:pt>
                <c:pt idx="77">
                  <c:v>25.838017749999999</c:v>
                </c:pt>
                <c:pt idx="78">
                  <c:v>10.465</c:v>
                </c:pt>
                <c:pt idx="79">
                  <c:v>20.673099199999999</c:v>
                </c:pt>
                <c:pt idx="80">
                  <c:v>10.382999999999999</c:v>
                </c:pt>
                <c:pt idx="81">
                  <c:v>10.336608650000001</c:v>
                </c:pt>
                <c:pt idx="82">
                  <c:v>10.3366445</c:v>
                </c:pt>
                <c:pt idx="83">
                  <c:v>10.33751535</c:v>
                </c:pt>
                <c:pt idx="84">
                  <c:v>25.8438135</c:v>
                </c:pt>
                <c:pt idx="85">
                  <c:v>103.38129549999999</c:v>
                </c:pt>
                <c:pt idx="86">
                  <c:v>51.693124949999998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C5-4522-AADF-7B0409495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518164822837949E-2"/>
          <c:y val="0.76343271071377683"/>
          <c:w val="0.83097983680808096"/>
          <c:h val="0.2273505232873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[DelegSQL5.xlsm]SQL!TablaDinámica3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SP</a:t>
            </a:r>
            <a:r>
              <a:rPr lang="en-US" baseline="0"/>
              <a:t> (days to date)</a:t>
            </a:r>
            <a:endParaRPr lang="en-US"/>
          </a:p>
        </c:rich>
      </c:tx>
      <c:layout>
        <c:manualLayout>
          <c:xMode val="edge"/>
          <c:yMode val="edge"/>
          <c:x val="0.36747967048998398"/>
          <c:y val="5.4094877384361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9.1987678434290718E-2"/>
          <c:y val="0.22976199705698147"/>
          <c:w val="0.83916035638587794"/>
          <c:h val="0.70722329429985631"/>
        </c:manualLayout>
      </c:layout>
      <c:lineChart>
        <c:grouping val="stacked"/>
        <c:varyColors val="0"/>
        <c:ser>
          <c:idx val="0"/>
          <c:order val="0"/>
          <c:tx>
            <c:strRef>
              <c:f>SQL!$T$8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SQL!$S$9:$S$69</c:f>
              <c:strCache>
                <c:ptCount val="60"/>
                <c:pt idx="0">
                  <c:v>1</c:v>
                </c:pt>
                <c:pt idx="1">
                  <c:v>25</c:v>
                </c:pt>
                <c:pt idx="2">
                  <c:v>26</c:v>
                </c:pt>
                <c:pt idx="3">
                  <c:v>122</c:v>
                </c:pt>
                <c:pt idx="4">
                  <c:v>143</c:v>
                </c:pt>
                <c:pt idx="5">
                  <c:v>6</c:v>
                </c:pt>
                <c:pt idx="6">
                  <c:v>7</c:v>
                </c:pt>
                <c:pt idx="7">
                  <c:v>15</c:v>
                </c:pt>
                <c:pt idx="8">
                  <c:v>20</c:v>
                </c:pt>
                <c:pt idx="9">
                  <c:v>35</c:v>
                </c:pt>
                <c:pt idx="10">
                  <c:v>38</c:v>
                </c:pt>
                <c:pt idx="11">
                  <c:v>43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49</c:v>
                </c:pt>
                <c:pt idx="16">
                  <c:v>51</c:v>
                </c:pt>
                <c:pt idx="17">
                  <c:v>60</c:v>
                </c:pt>
                <c:pt idx="18">
                  <c:v>66</c:v>
                </c:pt>
                <c:pt idx="19">
                  <c:v>68</c:v>
                </c:pt>
                <c:pt idx="20">
                  <c:v>69</c:v>
                </c:pt>
                <c:pt idx="21">
                  <c:v>73</c:v>
                </c:pt>
                <c:pt idx="22">
                  <c:v>76</c:v>
                </c:pt>
                <c:pt idx="23">
                  <c:v>80</c:v>
                </c:pt>
                <c:pt idx="24">
                  <c:v>82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90</c:v>
                </c:pt>
                <c:pt idx="31">
                  <c:v>91</c:v>
                </c:pt>
                <c:pt idx="32">
                  <c:v>92</c:v>
                </c:pt>
                <c:pt idx="33">
                  <c:v>94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104</c:v>
                </c:pt>
                <c:pt idx="41">
                  <c:v>105</c:v>
                </c:pt>
                <c:pt idx="42">
                  <c:v>106</c:v>
                </c:pt>
                <c:pt idx="43">
                  <c:v>112</c:v>
                </c:pt>
                <c:pt idx="44">
                  <c:v>115</c:v>
                </c:pt>
                <c:pt idx="45">
                  <c:v>119</c:v>
                </c:pt>
                <c:pt idx="46">
                  <c:v>120</c:v>
                </c:pt>
                <c:pt idx="47">
                  <c:v>121</c:v>
                </c:pt>
                <c:pt idx="48">
                  <c:v>123</c:v>
                </c:pt>
                <c:pt idx="49">
                  <c:v>124</c:v>
                </c:pt>
                <c:pt idx="50">
                  <c:v>127</c:v>
                </c:pt>
                <c:pt idx="51">
                  <c:v>128</c:v>
                </c:pt>
                <c:pt idx="52">
                  <c:v>130</c:v>
                </c:pt>
                <c:pt idx="53">
                  <c:v>132</c:v>
                </c:pt>
                <c:pt idx="54">
                  <c:v>133</c:v>
                </c:pt>
                <c:pt idx="55">
                  <c:v>137</c:v>
                </c:pt>
                <c:pt idx="56">
                  <c:v>140</c:v>
                </c:pt>
                <c:pt idx="57">
                  <c:v>144</c:v>
                </c:pt>
                <c:pt idx="58">
                  <c:v>145</c:v>
                </c:pt>
                <c:pt idx="59">
                  <c:v>146</c:v>
                </c:pt>
              </c:strCache>
            </c:strRef>
          </c:cat>
          <c:val>
            <c:numRef>
              <c:f>SQL!$T$9:$T$69</c:f>
              <c:numCache>
                <c:formatCode>General</c:formatCode>
                <c:ptCount val="60"/>
                <c:pt idx="0">
                  <c:v>0</c:v>
                </c:pt>
                <c:pt idx="1">
                  <c:v>20.6138175</c:v>
                </c:pt>
                <c:pt idx="2">
                  <c:v>10.273648699999999</c:v>
                </c:pt>
                <c:pt idx="3">
                  <c:v>258.12605454999999</c:v>
                </c:pt>
                <c:pt idx="4">
                  <c:v>62.194352349999996</c:v>
                </c:pt>
                <c:pt idx="5">
                  <c:v>51.5</c:v>
                </c:pt>
                <c:pt idx="6">
                  <c:v>0</c:v>
                </c:pt>
                <c:pt idx="7">
                  <c:v>154.01465304999999</c:v>
                </c:pt>
                <c:pt idx="8">
                  <c:v>10.27037625</c:v>
                </c:pt>
                <c:pt idx="9">
                  <c:v>0</c:v>
                </c:pt>
                <c:pt idx="10">
                  <c:v>52.142000000000003</c:v>
                </c:pt>
                <c:pt idx="11">
                  <c:v>113.7532144</c:v>
                </c:pt>
                <c:pt idx="12">
                  <c:v>0</c:v>
                </c:pt>
                <c:pt idx="13">
                  <c:v>10.34089805</c:v>
                </c:pt>
                <c:pt idx="14">
                  <c:v>0</c:v>
                </c:pt>
                <c:pt idx="15">
                  <c:v>10.28574555</c:v>
                </c:pt>
                <c:pt idx="16">
                  <c:v>10.34089805</c:v>
                </c:pt>
                <c:pt idx="17">
                  <c:v>180.10734299999999</c:v>
                </c:pt>
                <c:pt idx="18">
                  <c:v>0</c:v>
                </c:pt>
                <c:pt idx="19">
                  <c:v>0</c:v>
                </c:pt>
                <c:pt idx="20">
                  <c:v>102.9624965</c:v>
                </c:pt>
                <c:pt idx="21">
                  <c:v>21.585999999999999</c:v>
                </c:pt>
                <c:pt idx="22">
                  <c:v>10.30012325</c:v>
                </c:pt>
                <c:pt idx="23">
                  <c:v>10.3024881</c:v>
                </c:pt>
                <c:pt idx="24">
                  <c:v>10.303229300000002</c:v>
                </c:pt>
                <c:pt idx="25">
                  <c:v>22.6701409</c:v>
                </c:pt>
                <c:pt idx="26">
                  <c:v>10.305254250000001</c:v>
                </c:pt>
                <c:pt idx="27">
                  <c:v>0</c:v>
                </c:pt>
                <c:pt idx="28">
                  <c:v>10.3062808</c:v>
                </c:pt>
                <c:pt idx="29">
                  <c:v>206.1354585</c:v>
                </c:pt>
                <c:pt idx="30">
                  <c:v>25.769548449999998</c:v>
                </c:pt>
                <c:pt idx="31">
                  <c:v>0</c:v>
                </c:pt>
                <c:pt idx="32">
                  <c:v>10.3087254</c:v>
                </c:pt>
                <c:pt idx="33">
                  <c:v>10.309859149999999</c:v>
                </c:pt>
                <c:pt idx="34">
                  <c:v>43.307141299999998</c:v>
                </c:pt>
                <c:pt idx="35">
                  <c:v>25.779676250000001</c:v>
                </c:pt>
                <c:pt idx="36">
                  <c:v>103.1223225</c:v>
                </c:pt>
                <c:pt idx="37">
                  <c:v>227.23456835000002</c:v>
                </c:pt>
                <c:pt idx="38">
                  <c:v>72.199332499999997</c:v>
                </c:pt>
                <c:pt idx="39">
                  <c:v>0</c:v>
                </c:pt>
                <c:pt idx="40">
                  <c:v>221.77932544999999</c:v>
                </c:pt>
                <c:pt idx="41">
                  <c:v>0</c:v>
                </c:pt>
                <c:pt idx="42">
                  <c:v>10.3166627</c:v>
                </c:pt>
                <c:pt idx="43">
                  <c:v>123.8364139</c:v>
                </c:pt>
                <c:pt idx="44">
                  <c:v>72.251792350000002</c:v>
                </c:pt>
                <c:pt idx="45">
                  <c:v>10.3234277</c:v>
                </c:pt>
                <c:pt idx="46">
                  <c:v>10.32398585</c:v>
                </c:pt>
                <c:pt idx="47">
                  <c:v>10.9925</c:v>
                </c:pt>
                <c:pt idx="48">
                  <c:v>165.21621800000003</c:v>
                </c:pt>
                <c:pt idx="49">
                  <c:v>139.83688835000001</c:v>
                </c:pt>
                <c:pt idx="50">
                  <c:v>103.2789235</c:v>
                </c:pt>
                <c:pt idx="51">
                  <c:v>10.328521650000001</c:v>
                </c:pt>
                <c:pt idx="52">
                  <c:v>25.824568899999999</c:v>
                </c:pt>
                <c:pt idx="53">
                  <c:v>10.330847050000001</c:v>
                </c:pt>
                <c:pt idx="54">
                  <c:v>41.3241595</c:v>
                </c:pt>
                <c:pt idx="55">
                  <c:v>10.333678449999999</c:v>
                </c:pt>
                <c:pt idx="56">
                  <c:v>25.838017749999999</c:v>
                </c:pt>
                <c:pt idx="57">
                  <c:v>36.18132885</c:v>
                </c:pt>
                <c:pt idx="58">
                  <c:v>103.38129549999999</c:v>
                </c:pt>
                <c:pt idx="59">
                  <c:v>51.693124949999998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2-4331-AA87-32B5720CA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102120"/>
        <c:axId val="158099824"/>
      </c:lineChart>
      <c:catAx>
        <c:axId val="15810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99824"/>
        <c:crosses val="autoZero"/>
        <c:auto val="1"/>
        <c:lblAlgn val="ctr"/>
        <c:lblOffset val="100"/>
        <c:noMultiLvlLbl val="0"/>
      </c:catAx>
      <c:valAx>
        <c:axId val="15809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0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34511</xdr:colOff>
      <xdr:row>3</xdr:row>
      <xdr:rowOff>140465</xdr:rowOff>
    </xdr:from>
    <xdr:to>
      <xdr:col>5</xdr:col>
      <xdr:colOff>1212272</xdr:colOff>
      <xdr:row>5</xdr:row>
      <xdr:rowOff>69272</xdr:rowOff>
    </xdr:to>
    <xdr:sp macro="[0]!ThisWorkbook.actualizarlis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8E6D12-FD18-4031-9279-17A235BAA592}"/>
            </a:ext>
          </a:extLst>
        </xdr:cNvPr>
        <xdr:cNvSpPr/>
      </xdr:nvSpPr>
      <xdr:spPr>
        <a:xfrm>
          <a:off x="3931102" y="1335420"/>
          <a:ext cx="2701761" cy="552261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000">
              <a:solidFill>
                <a:schemeClr val="lt1"/>
              </a:solidFill>
              <a:latin typeface="Andalus" panose="02020603050405020304" pitchFamily="18" charset="-78"/>
              <a:ea typeface="+mn-ea"/>
              <a:cs typeface="Andalus" panose="02020603050405020304" pitchFamily="18" charset="-78"/>
            </a:rPr>
            <a:t>Upate from BlockChain</a:t>
          </a:r>
        </a:p>
        <a:p>
          <a:pPr marL="0" indent="0" algn="l"/>
          <a:endParaRPr lang="en-US" sz="1600">
            <a:solidFill>
              <a:schemeClr val="lt1"/>
            </a:solidFill>
            <a:latin typeface="Andalus" panose="02020603050405020304" pitchFamily="18" charset="-78"/>
            <a:ea typeface="+mn-ea"/>
            <a:cs typeface="Andalus" panose="02020603050405020304" pitchFamily="18" charset="-78"/>
          </a:endParaRPr>
        </a:p>
        <a:p>
          <a:pPr marL="0" indent="0" algn="l"/>
          <a:endParaRPr lang="en-US" sz="1600">
            <a:solidFill>
              <a:schemeClr val="lt1"/>
            </a:solidFill>
            <a:latin typeface="Andalus" panose="02020603050405020304" pitchFamily="18" charset="-78"/>
            <a:ea typeface="+mn-ea"/>
            <a:cs typeface="Andalus" panose="02020603050405020304" pitchFamily="18" charset="-78"/>
          </a:endParaRPr>
        </a:p>
      </xdr:txBody>
    </xdr:sp>
    <xdr:clientData/>
  </xdr:twoCellAnchor>
  <xdr:twoCellAnchor>
    <xdr:from>
      <xdr:col>6</xdr:col>
      <xdr:colOff>202003</xdr:colOff>
      <xdr:row>3</xdr:row>
      <xdr:rowOff>94670</xdr:rowOff>
    </xdr:from>
    <xdr:to>
      <xdr:col>7</xdr:col>
      <xdr:colOff>1558636</xdr:colOff>
      <xdr:row>5</xdr:row>
      <xdr:rowOff>51953</xdr:rowOff>
    </xdr:to>
    <xdr:sp macro="[0]!ThisWorkbook.calcular_da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EBB4CA3-5750-4B23-81B4-F6AAC671DF59}"/>
            </a:ext>
          </a:extLst>
        </xdr:cNvPr>
        <xdr:cNvSpPr/>
      </xdr:nvSpPr>
      <xdr:spPr>
        <a:xfrm>
          <a:off x="6973412" y="1289625"/>
          <a:ext cx="2742088" cy="580737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latin typeface="Andalus" panose="02020603050405020304" pitchFamily="18" charset="-78"/>
              <a:cs typeface="Andalus" panose="02020603050405020304" pitchFamily="18" charset="-78"/>
            </a:rPr>
            <a:t>Summarize</a:t>
          </a:r>
        </a:p>
        <a:p>
          <a:pPr algn="l"/>
          <a:endParaRPr lang="en-US" sz="1100"/>
        </a:p>
      </xdr:txBody>
    </xdr:sp>
    <xdr:clientData/>
  </xdr:twoCellAnchor>
  <xdr:twoCellAnchor>
    <xdr:from>
      <xdr:col>11</xdr:col>
      <xdr:colOff>452745</xdr:colOff>
      <xdr:row>29</xdr:row>
      <xdr:rowOff>77348</xdr:rowOff>
    </xdr:from>
    <xdr:to>
      <xdr:col>17</xdr:col>
      <xdr:colOff>1194955</xdr:colOff>
      <xdr:row>59</xdr:row>
      <xdr:rowOff>168235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B3D95CA-606E-40E8-870A-C73DF75F8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570482</xdr:colOff>
      <xdr:row>0</xdr:row>
      <xdr:rowOff>151790</xdr:rowOff>
    </xdr:from>
    <xdr:to>
      <xdr:col>10</xdr:col>
      <xdr:colOff>710046</xdr:colOff>
      <xdr:row>2</xdr:row>
      <xdr:rowOff>281778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9DB8D4D8-FC00-4CC0-99E9-045D46073F23}"/>
            </a:ext>
          </a:extLst>
        </xdr:cNvPr>
        <xdr:cNvSpPr/>
      </xdr:nvSpPr>
      <xdr:spPr>
        <a:xfrm>
          <a:off x="4467073" y="151790"/>
          <a:ext cx="9248928" cy="926624"/>
        </a:xfrm>
        <a:prstGeom prst="round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ctr"/>
          <a:r>
            <a:rPr lang="en-US" sz="3600">
              <a:solidFill>
                <a:schemeClr val="accent2">
                  <a:lumMod val="20000"/>
                  <a:lumOff val="80000"/>
                </a:schemeClr>
              </a:solidFill>
              <a:latin typeface="Andalus" panose="02020603050405020304" pitchFamily="18" charset="-78"/>
              <a:cs typeface="Andalus" panose="02020603050405020304" pitchFamily="18" charset="-78"/>
            </a:rPr>
            <a:t>Steem Power Delegation SQL Dashboard</a:t>
          </a:r>
        </a:p>
      </xdr:txBody>
    </xdr:sp>
    <xdr:clientData/>
  </xdr:twoCellAnchor>
  <xdr:twoCellAnchor>
    <xdr:from>
      <xdr:col>11</xdr:col>
      <xdr:colOff>425532</xdr:colOff>
      <xdr:row>8</xdr:row>
      <xdr:rowOff>89928</xdr:rowOff>
    </xdr:from>
    <xdr:to>
      <xdr:col>17</xdr:col>
      <xdr:colOff>1173926</xdr:colOff>
      <xdr:row>28</xdr:row>
      <xdr:rowOff>53189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EE51069-0DDE-489A-9905-8E75E7E2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86591</xdr:colOff>
      <xdr:row>0</xdr:row>
      <xdr:rowOff>101745</xdr:rowOff>
    </xdr:from>
    <xdr:to>
      <xdr:col>2</xdr:col>
      <xdr:colOff>727364</xdr:colOff>
      <xdr:row>2</xdr:row>
      <xdr:rowOff>344200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514068FD-B40D-42B8-B78F-54225CDA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91" y="101745"/>
          <a:ext cx="3775364" cy="10390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10</xdr:row>
      <xdr:rowOff>9525</xdr:rowOff>
    </xdr:from>
    <xdr:to>
      <xdr:col>6</xdr:col>
      <xdr:colOff>114300</xdr:colOff>
      <xdr:row>13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4A65180-2725-4A5B-A988-B7677D2F6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914525"/>
          <a:ext cx="2543175" cy="6381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BoxW7" refreshedDate="43073.910770717594" createdVersion="6" refreshedVersion="6" minRefreshableVersion="3" recordCount="87" xr:uid="{E4FC03B6-345B-4406-B2EC-F1A0A8F6AEDB}">
  <cacheSource type="worksheet">
    <worksheetSource name="test3"/>
  </cacheSource>
  <cacheFields count="8">
    <cacheField name="ID" numFmtId="0">
      <sharedItems containsSemiMixedTypes="0" containsString="0" containsNumber="1" containsInteger="1" minValue="67767" maxValue="307767"/>
    </cacheField>
    <cacheField name="tx_id" numFmtId="0">
      <sharedItems containsSemiMixedTypes="0" containsString="0" containsNumber="1" containsInteger="1" minValue="58874853" maxValue="157712412"/>
    </cacheField>
    <cacheField name="delegator" numFmtId="0">
      <sharedItems/>
    </cacheField>
    <cacheField name="delegatee" numFmtId="0">
      <sharedItems/>
    </cacheField>
    <cacheField name="Steem Power" numFmtId="2">
      <sharedItems containsSemiMixedTypes="0" containsString="0" containsNumber="1" minValue="0" maxValue="258.12605454999999"/>
    </cacheField>
    <cacheField name="timestamp" numFmtId="14">
      <sharedItems containsSemiMixedTypes="0" containsNonDate="0" containsDate="1" containsString="0" minDate="2017-07-11T03:01:39" maxDate="2017-12-03T03:59:21"/>
    </cacheField>
    <cacheField name="Days since" numFmtId="1">
      <sharedItems containsSemiMixedTypes="0" containsString="0" containsNumber="1" containsInteger="1" minValue="0" maxValue="147" count="84">
        <n v="1"/>
        <n v="6"/>
        <n v="7"/>
        <n v="15"/>
        <n v="20"/>
        <n v="25"/>
        <n v="26"/>
        <n v="35"/>
        <n v="38"/>
        <n v="43"/>
        <n v="45"/>
        <n v="46"/>
        <n v="47"/>
        <n v="49"/>
        <n v="51"/>
        <n v="60"/>
        <n v="66"/>
        <n v="68"/>
        <n v="69"/>
        <n v="73"/>
        <n v="76"/>
        <n v="80"/>
        <n v="82"/>
        <n v="84"/>
        <n v="85"/>
        <n v="86"/>
        <n v="87"/>
        <n v="88"/>
        <n v="90"/>
        <n v="91"/>
        <n v="92"/>
        <n v="94"/>
        <n v="96"/>
        <n v="97"/>
        <n v="98"/>
        <n v="101"/>
        <n v="102"/>
        <n v="103"/>
        <n v="104"/>
        <n v="105"/>
        <n v="106"/>
        <n v="112"/>
        <n v="115"/>
        <n v="119"/>
        <n v="120"/>
        <n v="121"/>
        <n v="122"/>
        <n v="123"/>
        <n v="124"/>
        <n v="127"/>
        <n v="128"/>
        <n v="130"/>
        <n v="132"/>
        <n v="133"/>
        <n v="137"/>
        <n v="140"/>
        <n v="143"/>
        <n v="144"/>
        <n v="145"/>
        <n v="146"/>
        <n v="0" u="1"/>
        <n v="83" u="1"/>
        <n v="141" u="1"/>
        <n v="50" u="1"/>
        <n v="18" u="1"/>
        <n v="111" u="1"/>
        <n v="19" u="1"/>
        <n v="131" u="1"/>
        <n v="139" u="1"/>
        <n v="58" u="1"/>
        <n v="22" u="1"/>
        <n v="147" u="1"/>
        <n v="23" u="1"/>
        <n v="24" u="1"/>
        <n v="142" u="1"/>
        <n v="89" u="1"/>
        <n v="114" u="1"/>
        <n v="129" u="1"/>
        <n v="27" u="1"/>
        <n v="28" u="1"/>
        <n v="109" u="1"/>
        <n v="30" u="1"/>
        <n v="4" u="1"/>
        <n v="32" u="1"/>
      </sharedItems>
    </cacheField>
    <cacheField name="vesting_shares" numFmtId="0">
      <sharedItems containsSemiMixedTypes="0" containsString="0" containsNumber="1" minValue="0" maxValue="516252.10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307767"/>
    <n v="157712412"/>
    <s v="lexiconical"/>
    <s v="muxxybot"/>
    <n v="0"/>
    <d v="2017-12-03T03:59:21"/>
    <x v="0"/>
    <n v="0"/>
  </r>
  <r>
    <n v="306772"/>
    <n v="154569849"/>
    <s v="jonknight"/>
    <s v="muxxybot"/>
    <n v="51.5"/>
    <d v="2017-11-28T19:11:12"/>
    <x v="1"/>
    <n v="103000"/>
  </r>
  <r>
    <n v="306739"/>
    <n v="154412742"/>
    <s v="gmuxx"/>
    <s v="muxxybot"/>
    <n v="0"/>
    <d v="2017-11-28T14:51:51"/>
    <x v="1"/>
    <n v="0"/>
  </r>
  <r>
    <n v="306584"/>
    <n v="153903442"/>
    <s v="twoitguys"/>
    <s v="muxxybot"/>
    <n v="0"/>
    <d v="2017-11-27T20:18:09"/>
    <x v="2"/>
    <n v="0"/>
  </r>
  <r>
    <n v="304898"/>
    <n v="148189581"/>
    <s v="kubbyelizabeth"/>
    <s v="muxxybot"/>
    <n v="154.01465304999999"/>
    <d v="2017-11-19T21:54:42"/>
    <x v="3"/>
    <n v="308029.30609999999"/>
  </r>
  <r>
    <n v="303646"/>
    <n v="144446794"/>
    <s v="outerground"/>
    <s v="muxxybot"/>
    <n v="10.27037625"/>
    <d v="2017-11-14T17:06:09"/>
    <x v="4"/>
    <n v="20540.752499999999"/>
  </r>
  <r>
    <n v="302551"/>
    <n v="141091923"/>
    <s v="mayowadavid"/>
    <s v="muxxybot"/>
    <n v="10.27291945"/>
    <d v="2017-11-09T21:14:03"/>
    <x v="5"/>
    <n v="20545.838899999999"/>
  </r>
  <r>
    <n v="302514"/>
    <n v="140968192"/>
    <s v="rye05"/>
    <s v="muxxybot"/>
    <n v="10.34089805"/>
    <d v="2017-11-09T18:13:45"/>
    <x v="5"/>
    <n v="20681.7961"/>
  </r>
  <r>
    <n v="302234"/>
    <n v="140196224"/>
    <s v="p-sycophant"/>
    <s v="muxxybot"/>
    <n v="10.273648699999999"/>
    <d v="2017-11-08T12:08:27"/>
    <x v="6"/>
    <n v="20547.297399999999"/>
  </r>
  <r>
    <n v="300279"/>
    <n v="133920484"/>
    <s v="jassennessaj"/>
    <s v="muxxybot"/>
    <n v="0"/>
    <d v="2017-10-30T00:46:42"/>
    <x v="7"/>
    <n v="0"/>
  </r>
  <r>
    <n v="299905"/>
    <n v="132180544"/>
    <s v="ethandsmith"/>
    <s v="muxxybot"/>
    <n v="52.142000000000003"/>
    <d v="2017-10-27T12:11:45"/>
    <x v="8"/>
    <n v="104284"/>
  </r>
  <r>
    <n v="299121"/>
    <n v="129660971"/>
    <s v="lisagenaille"/>
    <s v="muxxybot"/>
    <n v="103.4703971"/>
    <d v="2017-10-22T21:18:24"/>
    <x v="9"/>
    <n v="206940.7942"/>
  </r>
  <r>
    <n v="299007"/>
    <n v="129195432"/>
    <s v="xyzashu"/>
    <s v="muxxybot"/>
    <n v="10.282817300000001"/>
    <d v="2017-10-22T03:32:21"/>
    <x v="9"/>
    <n v="20565.634600000001"/>
  </r>
  <r>
    <n v="298843"/>
    <n v="128367728"/>
    <s v="zeartul"/>
    <s v="muxxybot"/>
    <n v="0"/>
    <d v="2017-10-20T21:04:09"/>
    <x v="10"/>
    <n v="0"/>
  </r>
  <r>
    <n v="298691"/>
    <n v="127690034"/>
    <s v="stevenmosoes"/>
    <s v="muxxybot"/>
    <n v="10.34089805"/>
    <d v="2017-10-19T17:13:51"/>
    <x v="11"/>
    <n v="20681.7961"/>
  </r>
  <r>
    <n v="298406"/>
    <n v="126711265"/>
    <s v="rainer.kormann"/>
    <s v="muxxybot"/>
    <n v="0"/>
    <d v="2017-10-18T07:09:18"/>
    <x v="12"/>
    <n v="0"/>
  </r>
  <r>
    <n v="298190"/>
    <n v="125612567"/>
    <s v="authorofthings"/>
    <s v="muxxybot"/>
    <n v="10.28574555"/>
    <d v="2017-10-16T14:09:42"/>
    <x v="13"/>
    <n v="20571.491099999999"/>
  </r>
  <r>
    <n v="297922"/>
    <n v="124537070"/>
    <s v="michaelcj"/>
    <s v="muxxybot"/>
    <n v="10.34089805"/>
    <d v="2017-10-14T21:56:51"/>
    <x v="14"/>
    <n v="20681.7961"/>
  </r>
  <r>
    <n v="191318"/>
    <n v="117459935"/>
    <s v="jrhughes"/>
    <s v="muxxybot"/>
    <n v="180.10734299999999"/>
    <d v="2017-10-05T00:06:57"/>
    <x v="15"/>
    <n v="360214.68599999999"/>
  </r>
  <r>
    <n v="190398"/>
    <n v="113836532"/>
    <s v="sandstorm"/>
    <s v="muxxybot"/>
    <n v="0"/>
    <d v="2017-09-29T21:48:00"/>
    <x v="16"/>
    <n v="0"/>
  </r>
  <r>
    <n v="190123"/>
    <n v="112429971"/>
    <s v="stevescoins"/>
    <s v="muxxybot"/>
    <n v="0"/>
    <d v="2017-09-27T20:59:00"/>
    <x v="17"/>
    <n v="0"/>
  </r>
  <r>
    <n v="189972"/>
    <n v="111595087"/>
    <s v="crimsonclad"/>
    <s v="muxxybot"/>
    <n v="102.9624965"/>
    <d v="2017-09-26T17:03:18"/>
    <x v="18"/>
    <n v="205924.99299999999"/>
  </r>
  <r>
    <n v="189458"/>
    <n v="108872798"/>
    <s v="fitzgibbon"/>
    <s v="muxxybot"/>
    <n v="21.585999999999999"/>
    <d v="2017-09-22T16:37:30"/>
    <x v="19"/>
    <n v="43172"/>
  </r>
  <r>
    <n v="188978"/>
    <n v="106573687"/>
    <s v="fractalizer"/>
    <s v="muxxybot"/>
    <n v="10.30012325"/>
    <d v="2017-09-19T13:47:12"/>
    <x v="20"/>
    <n v="20600.246500000001"/>
  </r>
  <r>
    <n v="188321"/>
    <n v="103523668"/>
    <s v="thetimminator"/>
    <s v="muxxybot"/>
    <n v="10.3024881"/>
    <d v="2017-09-15T06:08:03"/>
    <x v="21"/>
    <n v="20604.976200000001"/>
  </r>
  <r>
    <n v="188151"/>
    <n v="102627896"/>
    <s v="marcovanhassel"/>
    <s v="muxxybot"/>
    <n v="10.303229300000002"/>
    <d v="2017-09-13T21:40:24"/>
    <x v="22"/>
    <n v="20606.458600000002"/>
  </r>
  <r>
    <n v="187710"/>
    <n v="100644061"/>
    <s v="freyman"/>
    <s v="muxxybot"/>
    <n v="11.335053400000001"/>
    <d v="2017-09-11T09:39:03"/>
    <x v="23"/>
    <n v="22670.106800000001"/>
  </r>
  <r>
    <n v="187698"/>
    <n v="100612713"/>
    <s v="gazetagaleguia"/>
    <s v="muxxybot"/>
    <n v="11.3350875"/>
    <d v="2017-09-11T08:15:57"/>
    <x v="23"/>
    <n v="22670.174999999999"/>
  </r>
  <r>
    <n v="187527"/>
    <n v="99798645"/>
    <s v="inkatieskitchen"/>
    <s v="muxxybot"/>
    <n v="10.305254250000001"/>
    <d v="2017-09-10T04:38:30"/>
    <x v="24"/>
    <n v="20610.5085"/>
  </r>
  <r>
    <n v="187458"/>
    <n v="99416558"/>
    <s v="soundwavesphoton"/>
    <s v="muxxybot"/>
    <n v="0"/>
    <d v="2017-09-09T15:29:39"/>
    <x v="25"/>
    <n v="0"/>
  </r>
  <r>
    <n v="187236"/>
    <n v="98332808"/>
    <s v="randomness"/>
    <s v="muxxybot"/>
    <n v="10.3062808"/>
    <d v="2017-09-08T07:25:12"/>
    <x v="26"/>
    <n v="20612.561600000001"/>
  </r>
  <r>
    <n v="187114"/>
    <n v="97599728"/>
    <s v="greatvideos"/>
    <s v="muxxybot"/>
    <n v="206.1354585"/>
    <d v="2017-09-07T09:50:24"/>
    <x v="27"/>
    <n v="412270.91700000002"/>
  </r>
  <r>
    <n v="186860"/>
    <n v="96192301"/>
    <s v="geke"/>
    <s v="muxxybot"/>
    <n v="0"/>
    <d v="2017-09-05T12:51:30"/>
    <x v="28"/>
    <n v="0"/>
  </r>
  <r>
    <n v="186852"/>
    <n v="96163512"/>
    <s v="bex-dk"/>
    <s v="muxxybot"/>
    <n v="25.769548449999998"/>
    <d v="2017-09-05T11:47:30"/>
    <x v="28"/>
    <n v="51539.096899999997"/>
  </r>
  <r>
    <n v="186814"/>
    <n v="95996791"/>
    <s v="sammosk"/>
    <s v="muxxybot"/>
    <n v="0"/>
    <d v="2017-09-05T05:18:18"/>
    <x v="28"/>
    <n v="0"/>
  </r>
  <r>
    <n v="186747"/>
    <n v="95754998"/>
    <s v="crazybgadventure"/>
    <s v="muxxybot"/>
    <n v="0"/>
    <d v="2017-09-04T19:49:12"/>
    <x v="29"/>
    <n v="0"/>
  </r>
  <r>
    <n v="186569"/>
    <n v="95084050"/>
    <s v="ackhoo"/>
    <s v="muxxybot"/>
    <n v="10.3087254"/>
    <d v="2017-09-03T19:54:39"/>
    <x v="30"/>
    <n v="20617.450799999999"/>
  </r>
  <r>
    <n v="186205"/>
    <n v="93678194"/>
    <s v="ewkaw"/>
    <s v="muxxybot"/>
    <n v="10.309859149999999"/>
    <d v="2017-09-01T17:54:21"/>
    <x v="31"/>
    <n v="20619.7183"/>
  </r>
  <r>
    <n v="185953"/>
    <n v="91976681"/>
    <s v="kerlund74"/>
    <s v="muxxybot"/>
    <n v="20.6222055"/>
    <d v="2017-08-30T11:03:39"/>
    <x v="32"/>
    <n v="41244.411"/>
  </r>
  <r>
    <n v="185934"/>
    <n v="91895193"/>
    <s v="stellarbelle"/>
    <s v="muxxybot"/>
    <n v="2.0622330499999997"/>
    <d v="2017-08-30T08:18:48"/>
    <x v="32"/>
    <n v="4124.4660999999996"/>
  </r>
  <r>
    <n v="185875"/>
    <n v="91670195"/>
    <s v="fabulousfungi"/>
    <s v="muxxybot"/>
    <n v="20.622702750000002"/>
    <d v="2017-08-30T00:08:03"/>
    <x v="32"/>
    <n v="41245.405500000001"/>
  </r>
  <r>
    <n v="185776"/>
    <n v="91009737"/>
    <s v="jasonbu"/>
    <s v="muxxybot"/>
    <n v="25.779676250000001"/>
    <d v="2017-08-29T01:11:12"/>
    <x v="33"/>
    <n v="51559.352500000001"/>
  </r>
  <r>
    <n v="185686"/>
    <n v="90511173"/>
    <s v="anarcho-andrei"/>
    <s v="muxxybot"/>
    <n v="103.1223225"/>
    <d v="2017-08-28T09:09:30"/>
    <x v="34"/>
    <n v="206244.64499999999"/>
  </r>
  <r>
    <n v="185346"/>
    <n v="88777073"/>
    <s v="poeticsnake"/>
    <s v="muxxybot"/>
    <n v="103.13654175000001"/>
    <d v="2017-08-25T18:24:42"/>
    <x v="35"/>
    <n v="206273.08350000001"/>
  </r>
  <r>
    <n v="185318"/>
    <n v="88585304"/>
    <s v="kristyglas"/>
    <s v="muxxybot"/>
    <n v="10.3137747"/>
    <d v="2017-08-25T13:06:00"/>
    <x v="35"/>
    <n v="20627.5494"/>
  </r>
  <r>
    <n v="185294"/>
    <n v="88463519"/>
    <s v="thinknzombie"/>
    <s v="muxxybot"/>
    <n v="10.3138548"/>
    <d v="2017-08-25T09:33:30"/>
    <x v="35"/>
    <n v="20627.709599999998"/>
  </r>
  <r>
    <n v="185289"/>
    <n v="88426878"/>
    <s v="andrewgenaille"/>
    <s v="muxxybot"/>
    <n v="103.4703971"/>
    <d v="2017-08-25T08:17:30"/>
    <x v="35"/>
    <n v="206940.7942"/>
  </r>
  <r>
    <n v="185250"/>
    <n v="88023785"/>
    <s v="diggerdugg"/>
    <s v="muxxybot"/>
    <n v="72.199332499999997"/>
    <d v="2017-08-24T18:46:39"/>
    <x v="36"/>
    <n v="144398.66500000001"/>
  </r>
  <r>
    <n v="185119"/>
    <n v="87310795"/>
    <s v="dexpartacus"/>
    <s v="muxxybot"/>
    <n v="0"/>
    <d v="2017-08-23T19:33:33"/>
    <x v="37"/>
    <n v="0"/>
  </r>
  <r>
    <n v="185073"/>
    <n v="86989510"/>
    <s v="jordibv"/>
    <s v="muxxybot"/>
    <n v="0"/>
    <d v="2017-08-23T10:49:57"/>
    <x v="37"/>
    <n v="0"/>
  </r>
  <r>
    <n v="184977"/>
    <n v="86512786"/>
    <s v="aggroed"/>
    <s v="muxxybot"/>
    <n v="103.15292885"/>
    <d v="2017-08-22T18:13:42"/>
    <x v="38"/>
    <n v="206305.85769999999"/>
  </r>
  <r>
    <n v="184961"/>
    <n v="86453928"/>
    <s v="eliel"/>
    <s v="muxxybot"/>
    <n v="15.472996950000001"/>
    <d v="2017-08-22T16:32:54"/>
    <x v="38"/>
    <n v="30945.993900000001"/>
  </r>
  <r>
    <n v="184957"/>
    <n v="86440469"/>
    <s v="lenadr"/>
    <s v="muxxybot"/>
    <n v="103.15339965000001"/>
    <d v="2017-08-22T16:09:18"/>
    <x v="38"/>
    <n v="206306.79930000001"/>
  </r>
  <r>
    <n v="184747"/>
    <n v="85406142"/>
    <s v="gingyptian"/>
    <s v="muxxybot"/>
    <n v="0"/>
    <d v="2017-08-21T02:17:33"/>
    <x v="39"/>
    <n v="0"/>
  </r>
  <r>
    <n v="184673"/>
    <n v="85007404"/>
    <s v="enjar"/>
    <s v="muxxybot"/>
    <n v="0"/>
    <d v="2017-08-20T10:45:57"/>
    <x v="40"/>
    <n v="0"/>
  </r>
  <r>
    <n v="184654"/>
    <n v="84920758"/>
    <s v="cheeto.blue"/>
    <s v="muxxybot"/>
    <n v="10.3166627"/>
    <d v="2017-08-20T06:01:54"/>
    <x v="40"/>
    <n v="20633.325400000002"/>
  </r>
  <r>
    <n v="183726"/>
    <n v="81667272"/>
    <s v="bigpanda"/>
    <s v="muxxybot"/>
    <n v="10.319659"/>
    <d v="2017-08-14T18:08:39"/>
    <x v="41"/>
    <n v="20639.317999999999"/>
  </r>
  <r>
    <n v="183713"/>
    <n v="81609558"/>
    <s v="buzzbeergeek"/>
    <s v="muxxybot"/>
    <n v="113.5167549"/>
    <d v="2017-08-14T16:06:39"/>
    <x v="41"/>
    <n v="227033.5098"/>
  </r>
  <r>
    <n v="183215"/>
    <n v="79191134"/>
    <s v="juliakponsford"/>
    <s v="muxxybot"/>
    <n v="72.251792350000002"/>
    <d v="2017-08-11T00:22:30"/>
    <x v="42"/>
    <n v="144503.58470000001"/>
  </r>
  <r>
    <n v="182710"/>
    <n v="76573931"/>
    <s v="misterakpan"/>
    <s v="muxxybot"/>
    <n v="10.3234277"/>
    <d v="2017-08-07T19:40:15"/>
    <x v="43"/>
    <n v="20646.8554"/>
  </r>
  <r>
    <n v="182599"/>
    <n v="75990691"/>
    <s v="judas"/>
    <s v="muxxybot"/>
    <n v="10.32398585"/>
    <d v="2017-08-06T19:08:30"/>
    <x v="44"/>
    <n v="20647.971699999998"/>
  </r>
  <r>
    <n v="182453"/>
    <n v="75414457"/>
    <s v="guttormf"/>
    <s v="muxxybot"/>
    <n v="10.9925"/>
    <d v="2017-08-05T19:49:57"/>
    <x v="45"/>
    <n v="21985"/>
  </r>
  <r>
    <n v="182361"/>
    <n v="74771745"/>
    <s v="dineroconopcion"/>
    <s v="muxxybot"/>
    <n v="258.12605454999999"/>
    <d v="2017-08-04T20:43:33"/>
    <x v="46"/>
    <n v="516252.1091"/>
  </r>
  <r>
    <n v="70396"/>
    <n v="73808891"/>
    <s v="onlineprds"/>
    <s v="muxxybot"/>
    <n v="10.32582625"/>
    <d v="2017-08-03T10:05:51"/>
    <x v="47"/>
    <n v="20651.6525"/>
  </r>
  <r>
    <n v="70353"/>
    <n v="73627485"/>
    <s v="an0nkn0wledge"/>
    <s v="muxxybot"/>
    <n v="154.89039175000002"/>
    <d v="2017-08-03T01:19:42"/>
    <x v="47"/>
    <n v="309780.78350000002"/>
  </r>
  <r>
    <n v="70279"/>
    <n v="73216696"/>
    <s v="eturnerx"/>
    <s v="muxxybot"/>
    <n v="129.07988835"/>
    <d v="2017-08-02T09:21:30"/>
    <x v="48"/>
    <n v="258159.77669999999"/>
  </r>
  <r>
    <n v="70220"/>
    <n v="72995088"/>
    <s v="hypexals-spiral"/>
    <s v="muxxybot"/>
    <n v="10.757"/>
    <d v="2017-08-02T01:22:15"/>
    <x v="48"/>
    <n v="21514"/>
  </r>
  <r>
    <n v="69852"/>
    <n v="71385720"/>
    <s v="gpenco"/>
    <s v="muxxybot"/>
    <n v="103.2789235"/>
    <d v="2017-07-30T15:29:57"/>
    <x v="49"/>
    <n v="206557.84700000001"/>
  </r>
  <r>
    <n v="69779"/>
    <n v="70761789"/>
    <s v="finance2nomad"/>
    <s v="muxxybot"/>
    <n v="10.328521650000001"/>
    <d v="2017-07-29T11:52:09"/>
    <x v="50"/>
    <n v="20657.043300000001"/>
  </r>
  <r>
    <n v="69769"/>
    <n v="70673756"/>
    <s v="netuoso"/>
    <s v="muxxybot"/>
    <n v="0"/>
    <d v="2017-07-29T08:04:51"/>
    <x v="50"/>
    <n v="0"/>
  </r>
  <r>
    <n v="69537"/>
    <n v="69329982"/>
    <s v="abh12345"/>
    <s v="muxxybot"/>
    <n v="25.824568899999999"/>
    <d v="2017-07-27T02:30:51"/>
    <x v="51"/>
    <n v="51649.137799999997"/>
  </r>
  <r>
    <n v="69294"/>
    <n v="67807774"/>
    <s v="jraysteem"/>
    <s v="muxxybot"/>
    <n v="10.330847050000001"/>
    <d v="2017-07-25T05:36:27"/>
    <x v="52"/>
    <n v="20661.694100000001"/>
  </r>
  <r>
    <n v="69271"/>
    <n v="67667521"/>
    <s v="valderrama"/>
    <s v="muxxybot"/>
    <n v="10.33097955"/>
    <d v="2017-07-24T23:46:09"/>
    <x v="53"/>
    <n v="20661.9591"/>
  </r>
  <r>
    <n v="69266"/>
    <n v="67633045"/>
    <s v="misko"/>
    <s v="muxxybot"/>
    <n v="10.331007900000001"/>
    <d v="2017-07-24T22:32:18"/>
    <x v="53"/>
    <n v="20662.015800000001"/>
  </r>
  <r>
    <n v="69261"/>
    <n v="67588954"/>
    <s v="cmdrago"/>
    <s v="muxxybot"/>
    <n v="10.33103865"/>
    <d v="2017-07-24T21:09:57"/>
    <x v="53"/>
    <n v="20662.077300000001"/>
  </r>
  <r>
    <n v="69237"/>
    <n v="67440819"/>
    <s v="konstantint"/>
    <s v="muxxybot"/>
    <n v="10.331133400000001"/>
    <d v="2017-07-24T17:00:09"/>
    <x v="53"/>
    <n v="20662.266800000001"/>
  </r>
  <r>
    <n v="68888"/>
    <n v="64476803"/>
    <s v="stitchybitch"/>
    <s v="muxxybot"/>
    <n v="10.333678449999999"/>
    <d v="2017-07-20T01:21:45"/>
    <x v="54"/>
    <n v="20667.356899999999"/>
  </r>
  <r>
    <n v="68493"/>
    <n v="62867853"/>
    <s v="barbara-orenya"/>
    <s v="muxxybot"/>
    <n v="25.838017749999999"/>
    <d v="2017-07-17T07:11:09"/>
    <x v="55"/>
    <n v="51676.035499999998"/>
  </r>
  <r>
    <n v="68231"/>
    <n v="61431555"/>
    <s v="elautomatico"/>
    <s v="muxxybot"/>
    <n v="10.465"/>
    <d v="2017-07-14T22:13:12"/>
    <x v="56"/>
    <n v="20930"/>
  </r>
  <r>
    <n v="68221"/>
    <n v="61400031"/>
    <s v="unprovoked"/>
    <s v="muxxybot"/>
    <n v="20.673099199999999"/>
    <d v="2017-07-14T21:00:33"/>
    <x v="56"/>
    <n v="41346.198400000001"/>
  </r>
  <r>
    <n v="68215"/>
    <n v="61341355"/>
    <s v="discordiant"/>
    <s v="muxxybot"/>
    <n v="10.382999999999999"/>
    <d v="2017-07-14T18:45:12"/>
    <x v="56"/>
    <n v="20766"/>
  </r>
  <r>
    <n v="68214"/>
    <n v="61332934"/>
    <s v="cryptobeard"/>
    <s v="muxxybot"/>
    <n v="10.336608650000001"/>
    <d v="2017-07-14T18:28:12"/>
    <x v="56"/>
    <n v="20673.2173"/>
  </r>
  <r>
    <n v="68208"/>
    <n v="61282394"/>
    <s v="pilcrow"/>
    <s v="muxxybot"/>
    <n v="10.3366445"/>
    <d v="2017-07-14T16:53:51"/>
    <x v="56"/>
    <n v="20673.289000000001"/>
  </r>
  <r>
    <n v="67966"/>
    <n v="60271825"/>
    <s v="jesse2you"/>
    <s v="muxxybot"/>
    <n v="10.33751535"/>
    <d v="2017-07-13T03:05:57"/>
    <x v="57"/>
    <n v="20675.030699999999"/>
  </r>
  <r>
    <n v="67965"/>
    <n v="60261774"/>
    <s v="cristof"/>
    <s v="muxxybot"/>
    <n v="25.8438135"/>
    <d v="2017-07-13T02:39:51"/>
    <x v="57"/>
    <n v="51687.627"/>
  </r>
  <r>
    <n v="67843"/>
    <n v="59554345"/>
    <s v="swelker101"/>
    <s v="muxxybot"/>
    <n v="103.38129549999999"/>
    <d v="2017-07-12T00:28:03"/>
    <x v="58"/>
    <n v="206762.59099999999"/>
  </r>
  <r>
    <n v="67767"/>
    <n v="58874853"/>
    <s v="isaria"/>
    <s v="muxxybot"/>
    <n v="51.693124949999998"/>
    <d v="2017-07-11T03:01:39"/>
    <x v="59"/>
    <n v="103386.24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EEBFD0-3EF6-44C4-9DC6-4C57EC1DBE76}" name="TablaDinámica3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S8:T69" firstHeaderRow="1" firstDataRow="1" firstDataCol="1"/>
  <pivotFields count="8">
    <pivotField subtotalTop="0" showAll="0"/>
    <pivotField subtotalTop="0" showAll="0"/>
    <pivotField subtotalTop="0" showAll="0"/>
    <pivotField subtotalTop="0" showAll="0"/>
    <pivotField dataField="1" numFmtId="2" subtotalTop="0" showAll="0"/>
    <pivotField numFmtId="14" subtotalTop="0" showAll="0"/>
    <pivotField axis="axisRow" numFmtId="1" subtotalTop="0" showAll="0">
      <items count="85">
        <item m="1" x="60"/>
        <item x="0"/>
        <item m="1" x="82"/>
        <item m="1" x="64"/>
        <item m="1" x="66"/>
        <item m="1" x="70"/>
        <item m="1" x="72"/>
        <item m="1" x="73"/>
        <item x="5"/>
        <item x="6"/>
        <item m="1" x="78"/>
        <item m="1" x="79"/>
        <item m="1" x="83"/>
        <item m="1" x="63"/>
        <item x="46"/>
        <item x="56"/>
        <item x="1"/>
        <item x="2"/>
        <item x="3"/>
        <item x="4"/>
        <item m="1" x="81"/>
        <item x="7"/>
        <item x="8"/>
        <item x="9"/>
        <item x="10"/>
        <item x="11"/>
        <item x="12"/>
        <item x="13"/>
        <item x="14"/>
        <item m="1" x="69"/>
        <item x="15"/>
        <item x="16"/>
        <item x="17"/>
        <item x="18"/>
        <item x="19"/>
        <item x="20"/>
        <item x="21"/>
        <item x="22"/>
        <item m="1" x="61"/>
        <item x="23"/>
        <item x="24"/>
        <item x="25"/>
        <item x="26"/>
        <item x="27"/>
        <item m="1" x="7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m="1" x="80"/>
        <item m="1" x="65"/>
        <item x="41"/>
        <item m="1" x="76"/>
        <item x="42"/>
        <item x="43"/>
        <item x="44"/>
        <item x="45"/>
        <item x="47"/>
        <item x="48"/>
        <item x="49"/>
        <item x="50"/>
        <item m="1" x="77"/>
        <item x="51"/>
        <item m="1" x="67"/>
        <item x="52"/>
        <item x="53"/>
        <item x="54"/>
        <item m="1" x="68"/>
        <item x="55"/>
        <item m="1" x="62"/>
        <item m="1" x="74"/>
        <item x="57"/>
        <item x="58"/>
        <item x="59"/>
        <item m="1" x="71"/>
        <item t="default"/>
      </items>
    </pivotField>
    <pivotField subtotalTop="0" showAll="0"/>
  </pivotFields>
  <rowFields count="1">
    <field x="6"/>
  </rowFields>
  <rowItems count="61">
    <i>
      <x v="1"/>
    </i>
    <i>
      <x v="8"/>
    </i>
    <i>
      <x v="9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7"/>
    </i>
    <i>
      <x v="80"/>
    </i>
    <i>
      <x v="81"/>
    </i>
    <i>
      <x v="82"/>
    </i>
    <i t="grand">
      <x/>
    </i>
  </rowItems>
  <colItems count="1">
    <i/>
  </colItems>
  <dataFields count="1">
    <dataField name="Suma de Steem Power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000-000000000000}" autoFormatId="16" applyNumberFormats="0" applyBorderFormats="0" applyFontFormats="1" applyPatternFormats="1" applyAlignmentFormats="0" applyWidthHeightFormats="0">
  <queryTableRefresh nextId="12">
    <queryTableFields count="8">
      <queryTableField id="1" name="ID" tableColumnId="7"/>
      <queryTableField id="2" name="tx_id" tableColumnId="8"/>
      <queryTableField id="3" name="delegator" tableColumnId="9"/>
      <queryTableField id="4" name="delegatee" tableColumnId="10"/>
      <queryTableField id="7" dataBound="0" tableColumnId="13"/>
      <queryTableField id="6" name="timestamp" tableColumnId="12"/>
      <queryTableField id="8" dataBound="0" tableColumnId="14"/>
      <queryTableField id="5" name="vesting_shares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eemSQL" connectionId="2" xr16:uid="{00000000-0016-0000-01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x_id" tableColumnId="2"/>
      <queryTableField id="3" name="delegator" tableColumnId="3"/>
      <queryTableField id="4" name="delegatee" tableColumnId="4"/>
      <queryTableField id="5" name="vesting_shares" tableColumnId="5"/>
      <queryTableField id="6" name="timestamp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est3" displayName="test3" ref="D8:K95" tableType="queryTable" totalsRowShown="0" headerRowDxfId="1" dataDxfId="0">
  <autoFilter ref="D8:K95" xr:uid="{ABFF9043-2E05-4774-BC5E-5A30C7308F0B}"/>
  <tableColumns count="8">
    <tableColumn id="7" xr3:uid="{00000000-0010-0000-0000-000007000000}" uniqueName="7" name="ID" queryTableFieldId="1" dataDxfId="9"/>
    <tableColumn id="8" xr3:uid="{00000000-0010-0000-0000-000008000000}" uniqueName="8" name="tx_id" queryTableFieldId="2" dataDxfId="8"/>
    <tableColumn id="9" xr3:uid="{00000000-0010-0000-0000-000009000000}" uniqueName="9" name="delegator" queryTableFieldId="3" dataDxfId="7"/>
    <tableColumn id="10" xr3:uid="{00000000-0010-0000-0000-00000A000000}" uniqueName="10" name="delegatee" queryTableFieldId="4" dataDxfId="6"/>
    <tableColumn id="13" xr3:uid="{00000000-0010-0000-0000-00000D000000}" uniqueName="13" name="Steem Power" queryTableFieldId="7" dataDxfId="5">
      <calculatedColumnFormula>test3[[#This Row],[vesting_shares]]/$B$31</calculatedColumnFormula>
    </tableColumn>
    <tableColumn id="12" xr3:uid="{00000000-0010-0000-0000-00000C000000}" uniqueName="12" name="timestamp" queryTableFieldId="6" dataDxfId="4"/>
    <tableColumn id="14" xr3:uid="{00000000-0010-0000-0000-00000E000000}" uniqueName="14" name="Days since" queryTableFieldId="8" dataDxfId="3">
      <calculatedColumnFormula>_xlfn.DAYS(TODAY(),test3[[#This Row],[timestamp]])</calculatedColumnFormula>
    </tableColumn>
    <tableColumn id="11" xr3:uid="{00000000-0010-0000-0000-00000B000000}" uniqueName="11" name="vesting_shares" queryTableFieldId="5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82EF9-BDC6-4319-BAEB-F0236F35EA62}" name="Table_STeemSQL" displayName="Table_STeemSQL" ref="K8:P140" tableType="queryTable" totalsRowShown="0">
  <autoFilter ref="K8:P140" xr:uid="{B6C336FB-E30E-4AA2-8C2C-1C01AFEDAC40}"/>
  <tableColumns count="6">
    <tableColumn id="1" xr3:uid="{E7FE1F99-74E6-4B05-A813-EDF4CBCDE30E}" uniqueName="1" name="ID" queryTableFieldId="1"/>
    <tableColumn id="2" xr3:uid="{3E52D26F-11C8-4B31-8BE0-8763E4648CBE}" uniqueName="2" name="tx_id" queryTableFieldId="2"/>
    <tableColumn id="3" xr3:uid="{57548F59-2A56-4AE3-A677-C93EBB9BECEE}" uniqueName="3" name="delegator" queryTableFieldId="3"/>
    <tableColumn id="4" xr3:uid="{D2D20DD1-0CD3-45CF-BB2B-FC2BC422845E}" uniqueName="4" name="delegatee" queryTableFieldId="4"/>
    <tableColumn id="5" xr3:uid="{8679ACE0-7386-432C-9B29-4B3C98EAB5DF}" uniqueName="5" name="vesting_shares" queryTableFieldId="5"/>
    <tableColumn id="6" xr3:uid="{234BCF55-67FC-4230-A50E-A379C510E1F3}" uniqueName="6" name="timestamp" queryTableFieldId="6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AH95"/>
  <sheetViews>
    <sheetView tabSelected="1" zoomScale="55" zoomScaleNormal="55" workbookViewId="0">
      <selection activeCell="W14" sqref="W14"/>
    </sheetView>
  </sheetViews>
  <sheetFormatPr baseColWidth="10" defaultColWidth="11.42578125" defaultRowHeight="15" x14ac:dyDescent="0.25"/>
  <cols>
    <col min="1" max="1" width="16.7109375" customWidth="1"/>
    <col min="2" max="2" width="30.42578125" customWidth="1"/>
    <col min="4" max="4" width="11" bestFit="1" customWidth="1"/>
    <col min="5" max="5" width="15.7109375" bestFit="1" customWidth="1"/>
    <col min="6" max="6" width="20.140625" bestFit="1" customWidth="1"/>
    <col min="7" max="7" width="20.85546875" bestFit="1" customWidth="1"/>
    <col min="8" max="8" width="25.42578125" bestFit="1" customWidth="1"/>
    <col min="9" max="9" width="21.140625" bestFit="1" customWidth="1"/>
    <col min="10" max="10" width="22.28515625" bestFit="1" customWidth="1"/>
    <col min="11" max="11" width="28.7109375" bestFit="1" customWidth="1"/>
    <col min="14" max="14" width="23.42578125" bestFit="1" customWidth="1"/>
    <col min="15" max="15" width="27.28515625" bestFit="1" customWidth="1"/>
    <col min="18" max="18" width="21.42578125" customWidth="1"/>
    <col min="19" max="19" width="26.140625" bestFit="1" customWidth="1"/>
    <col min="20" max="20" width="28" bestFit="1" customWidth="1"/>
    <col min="21" max="21" width="25.5703125" customWidth="1"/>
    <col min="22" max="22" width="7" customWidth="1"/>
    <col min="23" max="23" width="10" customWidth="1"/>
    <col min="24" max="24" width="18.5703125" customWidth="1"/>
    <col min="25" max="25" width="12.28515625" customWidth="1"/>
    <col min="26" max="26" width="16.42578125" customWidth="1"/>
    <col min="27" max="27" width="12.85546875" bestFit="1" customWidth="1"/>
    <col min="28" max="28" width="12.140625" customWidth="1"/>
    <col min="29" max="29" width="14.85546875" customWidth="1"/>
    <col min="30" max="30" width="21.5703125" customWidth="1"/>
    <col min="36" max="36" width="6" customWidth="1"/>
    <col min="37" max="37" width="9" customWidth="1"/>
    <col min="38" max="38" width="12.7109375" customWidth="1"/>
    <col min="39" max="39" width="15.140625" customWidth="1"/>
    <col min="40" max="40" width="16.42578125" bestFit="1" customWidth="1"/>
    <col min="41" max="41" width="12.85546875" bestFit="1" customWidth="1"/>
  </cols>
  <sheetData>
    <row r="1" spans="1:20" s="5" customFormat="1" ht="30.75" customHeight="1" x14ac:dyDescent="0.25">
      <c r="A1" s="5" t="s">
        <v>6</v>
      </c>
    </row>
    <row r="2" spans="1:20" s="5" customFormat="1" ht="30.75" customHeight="1" x14ac:dyDescent="0.25"/>
    <row r="3" spans="1:20" s="5" customFormat="1" ht="30.75" customHeight="1" thickBot="1" x14ac:dyDescent="0.3"/>
    <row r="4" spans="1:20" s="11" customFormat="1" ht="24" customHeight="1" x14ac:dyDescent="0.25">
      <c r="A4" s="10"/>
    </row>
    <row r="5" spans="1:20" s="9" customFormat="1" ht="24" customHeight="1" x14ac:dyDescent="0.25">
      <c r="A5" s="12"/>
    </row>
    <row r="6" spans="1:20" s="14" customFormat="1" ht="12.75" customHeight="1" thickBot="1" x14ac:dyDescent="0.3">
      <c r="A6" s="13"/>
    </row>
    <row r="7" spans="1:20" ht="27.75" customHeight="1" thickBot="1" x14ac:dyDescent="0.3"/>
    <row r="8" spans="1:20" ht="33" thickBot="1" x14ac:dyDescent="0.8">
      <c r="A8" s="2" t="s">
        <v>7</v>
      </c>
      <c r="B8" s="15"/>
      <c r="C8" s="4" t="s">
        <v>12</v>
      </c>
      <c r="D8" s="20" t="s">
        <v>0</v>
      </c>
      <c r="E8" s="20" t="s">
        <v>1</v>
      </c>
      <c r="F8" s="20" t="s">
        <v>2</v>
      </c>
      <c r="G8" s="20" t="s">
        <v>3</v>
      </c>
      <c r="H8" s="20" t="s">
        <v>10</v>
      </c>
      <c r="I8" s="20" t="s">
        <v>5</v>
      </c>
      <c r="J8" s="20" t="s">
        <v>11</v>
      </c>
      <c r="K8" s="20" t="s">
        <v>4</v>
      </c>
      <c r="N8" s="19" t="s">
        <v>101</v>
      </c>
      <c r="O8" s="16">
        <f>SUM(test3[Steem Power])</f>
        <v>3050.2573273500002</v>
      </c>
      <c r="P8" s="1" t="s">
        <v>102</v>
      </c>
      <c r="S8" s="7" t="s">
        <v>103</v>
      </c>
      <c r="T8" t="s">
        <v>105</v>
      </c>
    </row>
    <row r="9" spans="1:20" ht="28.5" thickBot="1" x14ac:dyDescent="0.7">
      <c r="A9" s="2" t="s">
        <v>8</v>
      </c>
      <c r="B9" s="15" t="s">
        <v>18</v>
      </c>
      <c r="D9" s="20">
        <v>307767</v>
      </c>
      <c r="E9" s="20">
        <v>157712412</v>
      </c>
      <c r="F9" s="20" t="s">
        <v>19</v>
      </c>
      <c r="G9" s="20" t="s">
        <v>18</v>
      </c>
      <c r="H9" s="21">
        <f>test3[[#This Row],[vesting_shares]]/$B$31</f>
        <v>0</v>
      </c>
      <c r="I9" s="22">
        <v>43072.166215277779</v>
      </c>
      <c r="J9" s="23">
        <f ca="1">_xlfn.DAYS(TODAY(),test3[[#This Row],[timestamp]])</f>
        <v>1</v>
      </c>
      <c r="K9" s="20">
        <v>0</v>
      </c>
      <c r="S9" s="8">
        <v>1</v>
      </c>
      <c r="T9" s="6">
        <v>0</v>
      </c>
    </row>
    <row r="10" spans="1:20" ht="21" x14ac:dyDescent="0.35">
      <c r="D10" s="20">
        <v>306772</v>
      </c>
      <c r="E10" s="20">
        <v>154569849</v>
      </c>
      <c r="F10" s="20" t="s">
        <v>20</v>
      </c>
      <c r="G10" s="20" t="s">
        <v>18</v>
      </c>
      <c r="H10" s="21">
        <f>test3[[#This Row],[vesting_shares]]/$B$31</f>
        <v>51.5</v>
      </c>
      <c r="I10" s="22">
        <v>43067.799444444441</v>
      </c>
      <c r="J10" s="23">
        <f ca="1">_xlfn.DAYS(TODAY(),test3[[#This Row],[timestamp]])</f>
        <v>6</v>
      </c>
      <c r="K10" s="20">
        <v>103000</v>
      </c>
      <c r="S10" s="8">
        <v>25</v>
      </c>
      <c r="T10" s="6">
        <v>20.6138175</v>
      </c>
    </row>
    <row r="11" spans="1:20" ht="21" x14ac:dyDescent="0.35">
      <c r="D11" s="20">
        <v>306739</v>
      </c>
      <c r="E11" s="20">
        <v>154412742</v>
      </c>
      <c r="F11" s="20" t="s">
        <v>14</v>
      </c>
      <c r="G11" s="20" t="s">
        <v>18</v>
      </c>
      <c r="H11" s="21">
        <f>test3[[#This Row],[vesting_shares]]/$B$31</f>
        <v>0</v>
      </c>
      <c r="I11" s="22">
        <v>43067.619340277779</v>
      </c>
      <c r="J11" s="23">
        <f ca="1">_xlfn.DAYS(TODAY(),test3[[#This Row],[timestamp]])</f>
        <v>6</v>
      </c>
      <c r="K11" s="20">
        <v>0</v>
      </c>
      <c r="S11" s="8">
        <v>26</v>
      </c>
      <c r="T11" s="6">
        <v>10.273648699999999</v>
      </c>
    </row>
    <row r="12" spans="1:20" ht="21" x14ac:dyDescent="0.35">
      <c r="D12" s="20">
        <v>306584</v>
      </c>
      <c r="E12" s="20">
        <v>153903442</v>
      </c>
      <c r="F12" s="20" t="s">
        <v>21</v>
      </c>
      <c r="G12" s="20" t="s">
        <v>18</v>
      </c>
      <c r="H12" s="21">
        <f>test3[[#This Row],[vesting_shares]]/$B$31</f>
        <v>0</v>
      </c>
      <c r="I12" s="22">
        <v>43066.845937500002</v>
      </c>
      <c r="J12" s="23">
        <f ca="1">_xlfn.DAYS(TODAY(),test3[[#This Row],[timestamp]])</f>
        <v>7</v>
      </c>
      <c r="K12" s="20">
        <v>0</v>
      </c>
      <c r="S12" s="8">
        <v>122</v>
      </c>
      <c r="T12" s="6">
        <v>258.12605454999999</v>
      </c>
    </row>
    <row r="13" spans="1:20" ht="21" x14ac:dyDescent="0.35">
      <c r="D13" s="20">
        <v>304898</v>
      </c>
      <c r="E13" s="20">
        <v>148189581</v>
      </c>
      <c r="F13" s="20" t="s">
        <v>22</v>
      </c>
      <c r="G13" s="20" t="s">
        <v>18</v>
      </c>
      <c r="H13" s="21">
        <f>test3[[#This Row],[vesting_shares]]/$B$31</f>
        <v>154.01465304999999</v>
      </c>
      <c r="I13" s="22">
        <v>43058.912986111114</v>
      </c>
      <c r="J13" s="23">
        <f ca="1">_xlfn.DAYS(TODAY(),test3[[#This Row],[timestamp]])</f>
        <v>15</v>
      </c>
      <c r="K13" s="20">
        <v>308029.30609999999</v>
      </c>
      <c r="S13" s="8">
        <v>143</v>
      </c>
      <c r="T13" s="6">
        <v>62.194352349999996</v>
      </c>
    </row>
    <row r="14" spans="1:20" ht="21" x14ac:dyDescent="0.35">
      <c r="D14" s="20">
        <v>303646</v>
      </c>
      <c r="E14" s="20">
        <v>144446794</v>
      </c>
      <c r="F14" s="20" t="s">
        <v>23</v>
      </c>
      <c r="G14" s="20" t="s">
        <v>18</v>
      </c>
      <c r="H14" s="21">
        <f>test3[[#This Row],[vesting_shares]]/$B$31</f>
        <v>10.27037625</v>
      </c>
      <c r="I14" s="22">
        <v>43053.712604166663</v>
      </c>
      <c r="J14" s="23">
        <f ca="1">_xlfn.DAYS(TODAY(),test3[[#This Row],[timestamp]])</f>
        <v>20</v>
      </c>
      <c r="K14" s="20">
        <v>20540.752499999999</v>
      </c>
      <c r="S14" s="8">
        <v>6</v>
      </c>
      <c r="T14" s="6">
        <v>51.5</v>
      </c>
    </row>
    <row r="15" spans="1:20" ht="21" x14ac:dyDescent="0.35">
      <c r="D15" s="20">
        <v>302551</v>
      </c>
      <c r="E15" s="20">
        <v>141091923</v>
      </c>
      <c r="F15" s="20" t="s">
        <v>24</v>
      </c>
      <c r="G15" s="20" t="s">
        <v>18</v>
      </c>
      <c r="H15" s="21">
        <f>test3[[#This Row],[vesting_shares]]/$B$31</f>
        <v>10.27291945</v>
      </c>
      <c r="I15" s="22">
        <v>43048.884756944448</v>
      </c>
      <c r="J15" s="23">
        <f ca="1">_xlfn.DAYS(TODAY(),test3[[#This Row],[timestamp]])</f>
        <v>25</v>
      </c>
      <c r="K15" s="20">
        <v>20545.838899999999</v>
      </c>
      <c r="S15" s="8">
        <v>7</v>
      </c>
      <c r="T15" s="6">
        <v>0</v>
      </c>
    </row>
    <row r="16" spans="1:20" ht="21" x14ac:dyDescent="0.35">
      <c r="D16" s="20">
        <v>302514</v>
      </c>
      <c r="E16" s="20">
        <v>140968192</v>
      </c>
      <c r="F16" s="20" t="s">
        <v>25</v>
      </c>
      <c r="G16" s="20" t="s">
        <v>18</v>
      </c>
      <c r="H16" s="21">
        <f>test3[[#This Row],[vesting_shares]]/$B$31</f>
        <v>10.34089805</v>
      </c>
      <c r="I16" s="22">
        <v>43048.759548611109</v>
      </c>
      <c r="J16" s="23">
        <f ca="1">_xlfn.DAYS(TODAY(),test3[[#This Row],[timestamp]])</f>
        <v>25</v>
      </c>
      <c r="K16" s="20">
        <v>20681.7961</v>
      </c>
      <c r="S16" s="8">
        <v>15</v>
      </c>
      <c r="T16" s="6">
        <v>154.01465304999999</v>
      </c>
    </row>
    <row r="17" spans="1:34" ht="21" x14ac:dyDescent="0.35">
      <c r="D17" s="20">
        <v>302234</v>
      </c>
      <c r="E17" s="20">
        <v>140196224</v>
      </c>
      <c r="F17" s="20" t="s">
        <v>26</v>
      </c>
      <c r="G17" s="20" t="s">
        <v>18</v>
      </c>
      <c r="H17" s="21">
        <f>test3[[#This Row],[vesting_shares]]/$B$31</f>
        <v>10.273648699999999</v>
      </c>
      <c r="I17" s="22">
        <v>43047.505868055552</v>
      </c>
      <c r="J17" s="23">
        <f ca="1">_xlfn.DAYS(TODAY(),test3[[#This Row],[timestamp]])</f>
        <v>26</v>
      </c>
      <c r="K17" s="20">
        <v>20547.297399999999</v>
      </c>
      <c r="S17" s="8">
        <v>20</v>
      </c>
      <c r="T17" s="6">
        <v>10.27037625</v>
      </c>
    </row>
    <row r="18" spans="1:34" ht="21" x14ac:dyDescent="0.35">
      <c r="D18" s="20">
        <v>300279</v>
      </c>
      <c r="E18" s="20">
        <v>133920484</v>
      </c>
      <c r="F18" s="20" t="s">
        <v>27</v>
      </c>
      <c r="G18" s="20" t="s">
        <v>18</v>
      </c>
      <c r="H18" s="21">
        <f>test3[[#This Row],[vesting_shares]]/$B$31</f>
        <v>0</v>
      </c>
      <c r="I18" s="22">
        <v>43038.032430555555</v>
      </c>
      <c r="J18" s="23">
        <f ca="1">_xlfn.DAYS(TODAY(),test3[[#This Row],[timestamp]])</f>
        <v>35</v>
      </c>
      <c r="K18" s="20">
        <v>0</v>
      </c>
      <c r="S18" s="8">
        <v>35</v>
      </c>
      <c r="T18" s="6">
        <v>0</v>
      </c>
    </row>
    <row r="19" spans="1:34" ht="21" x14ac:dyDescent="0.35">
      <c r="D19" s="20">
        <v>299905</v>
      </c>
      <c r="E19" s="20">
        <v>132180544</v>
      </c>
      <c r="F19" s="20" t="s">
        <v>16</v>
      </c>
      <c r="G19" s="20" t="s">
        <v>18</v>
      </c>
      <c r="H19" s="21">
        <f>test3[[#This Row],[vesting_shares]]/$B$31</f>
        <v>52.142000000000003</v>
      </c>
      <c r="I19" s="22">
        <v>43035.508159722223</v>
      </c>
      <c r="J19" s="23">
        <f ca="1">_xlfn.DAYS(TODAY(),test3[[#This Row],[timestamp]])</f>
        <v>38</v>
      </c>
      <c r="K19" s="20">
        <v>104284</v>
      </c>
      <c r="S19" s="8">
        <v>38</v>
      </c>
      <c r="T19" s="6">
        <v>52.142000000000003</v>
      </c>
    </row>
    <row r="20" spans="1:34" ht="21" x14ac:dyDescent="0.35">
      <c r="D20" s="20">
        <v>299121</v>
      </c>
      <c r="E20" s="20">
        <v>129660971</v>
      </c>
      <c r="F20" s="20" t="s">
        <v>28</v>
      </c>
      <c r="G20" s="20" t="s">
        <v>18</v>
      </c>
      <c r="H20" s="21">
        <f>test3[[#This Row],[vesting_shares]]/$B$31</f>
        <v>103.4703971</v>
      </c>
      <c r="I20" s="22">
        <v>43030.887777777774</v>
      </c>
      <c r="J20" s="23">
        <f ca="1">_xlfn.DAYS(TODAY(),test3[[#This Row],[timestamp]])</f>
        <v>43</v>
      </c>
      <c r="K20" s="20">
        <v>206940.7942</v>
      </c>
      <c r="S20" s="8">
        <v>43</v>
      </c>
      <c r="T20" s="6">
        <v>113.7532144</v>
      </c>
    </row>
    <row r="21" spans="1:34" ht="21" x14ac:dyDescent="0.35">
      <c r="D21" s="20">
        <v>299007</v>
      </c>
      <c r="E21" s="20">
        <v>129195432</v>
      </c>
      <c r="F21" s="20" t="s">
        <v>29</v>
      </c>
      <c r="G21" s="20" t="s">
        <v>18</v>
      </c>
      <c r="H21" s="21">
        <f>test3[[#This Row],[vesting_shares]]/$B$31</f>
        <v>10.282817300000001</v>
      </c>
      <c r="I21" s="22">
        <v>43030.147465277776</v>
      </c>
      <c r="J21" s="23">
        <f ca="1">_xlfn.DAYS(TODAY(),test3[[#This Row],[timestamp]])</f>
        <v>43</v>
      </c>
      <c r="K21" s="20">
        <v>20565.634600000001</v>
      </c>
      <c r="S21" s="8">
        <v>45</v>
      </c>
      <c r="T21" s="6">
        <v>0</v>
      </c>
    </row>
    <row r="22" spans="1:34" ht="21" x14ac:dyDescent="0.35">
      <c r="D22" s="20">
        <v>298843</v>
      </c>
      <c r="E22" s="20">
        <v>128367728</v>
      </c>
      <c r="F22" s="20" t="s">
        <v>30</v>
      </c>
      <c r="G22" s="20" t="s">
        <v>18</v>
      </c>
      <c r="H22" s="21">
        <f>test3[[#This Row],[vesting_shares]]/$B$31</f>
        <v>0</v>
      </c>
      <c r="I22" s="22">
        <v>43028.877881944441</v>
      </c>
      <c r="J22" s="23">
        <f ca="1">_xlfn.DAYS(TODAY(),test3[[#This Row],[timestamp]])</f>
        <v>45</v>
      </c>
      <c r="K22" s="20">
        <v>0</v>
      </c>
      <c r="S22" s="8">
        <v>46</v>
      </c>
      <c r="T22" s="6">
        <v>10.34089805</v>
      </c>
    </row>
    <row r="23" spans="1:34" ht="21" x14ac:dyDescent="0.35">
      <c r="D23" s="20">
        <v>298691</v>
      </c>
      <c r="E23" s="20">
        <v>127690034</v>
      </c>
      <c r="F23" s="20" t="s">
        <v>31</v>
      </c>
      <c r="G23" s="20" t="s">
        <v>18</v>
      </c>
      <c r="H23" s="21">
        <f>test3[[#This Row],[vesting_shares]]/$B$31</f>
        <v>10.34089805</v>
      </c>
      <c r="I23" s="22">
        <v>43027.717951388891</v>
      </c>
      <c r="J23" s="23">
        <f ca="1">_xlfn.DAYS(TODAY(),test3[[#This Row],[timestamp]])</f>
        <v>46</v>
      </c>
      <c r="K23" s="20">
        <v>20681.7961</v>
      </c>
      <c r="S23" s="8">
        <v>47</v>
      </c>
      <c r="T23" s="6">
        <v>0</v>
      </c>
    </row>
    <row r="24" spans="1:34" ht="21" x14ac:dyDescent="0.35">
      <c r="D24" s="20">
        <v>298406</v>
      </c>
      <c r="E24" s="20">
        <v>126711265</v>
      </c>
      <c r="F24" s="20" t="s">
        <v>32</v>
      </c>
      <c r="G24" s="20" t="s">
        <v>18</v>
      </c>
      <c r="H24" s="21">
        <f>test3[[#This Row],[vesting_shares]]/$B$31</f>
        <v>0</v>
      </c>
      <c r="I24" s="22">
        <v>43026.298125000001</v>
      </c>
      <c r="J24" s="23">
        <f ca="1">_xlfn.DAYS(TODAY(),test3[[#This Row],[timestamp]])</f>
        <v>47</v>
      </c>
      <c r="K24" s="20">
        <v>0</v>
      </c>
      <c r="S24" s="8">
        <v>49</v>
      </c>
      <c r="T24" s="6">
        <v>10.28574555</v>
      </c>
    </row>
    <row r="25" spans="1:34" ht="21" x14ac:dyDescent="0.35">
      <c r="D25" s="20">
        <v>298190</v>
      </c>
      <c r="E25" s="20">
        <v>125612567</v>
      </c>
      <c r="F25" s="20" t="s">
        <v>33</v>
      </c>
      <c r="G25" s="20" t="s">
        <v>18</v>
      </c>
      <c r="H25" s="21">
        <f>test3[[#This Row],[vesting_shares]]/$B$31</f>
        <v>10.28574555</v>
      </c>
      <c r="I25" s="22">
        <v>43024.590069444443</v>
      </c>
      <c r="J25" s="23">
        <f ca="1">_xlfn.DAYS(TODAY(),test3[[#This Row],[timestamp]])</f>
        <v>49</v>
      </c>
      <c r="K25" s="20">
        <v>20571.491099999999</v>
      </c>
      <c r="S25" s="8">
        <v>51</v>
      </c>
      <c r="T25" s="6">
        <v>10.34089805</v>
      </c>
    </row>
    <row r="26" spans="1:34" ht="21" x14ac:dyDescent="0.35">
      <c r="D26" s="20">
        <v>297922</v>
      </c>
      <c r="E26" s="20">
        <v>124537070</v>
      </c>
      <c r="F26" s="20" t="s">
        <v>34</v>
      </c>
      <c r="G26" s="20" t="s">
        <v>18</v>
      </c>
      <c r="H26" s="21">
        <f>test3[[#This Row],[vesting_shares]]/$B$31</f>
        <v>10.34089805</v>
      </c>
      <c r="I26" s="22">
        <v>43022.914479166669</v>
      </c>
      <c r="J26" s="23">
        <f ca="1">_xlfn.DAYS(TODAY(),test3[[#This Row],[timestamp]])</f>
        <v>51</v>
      </c>
      <c r="K26" s="20">
        <v>20681.7961</v>
      </c>
      <c r="S26" s="8">
        <v>60</v>
      </c>
      <c r="T26" s="6">
        <v>180.10734299999999</v>
      </c>
    </row>
    <row r="27" spans="1:34" ht="21" x14ac:dyDescent="0.35">
      <c r="D27" s="20">
        <v>191318</v>
      </c>
      <c r="E27" s="20">
        <v>117459935</v>
      </c>
      <c r="F27" s="20" t="s">
        <v>35</v>
      </c>
      <c r="G27" s="20" t="s">
        <v>18</v>
      </c>
      <c r="H27" s="21">
        <f>test3[[#This Row],[vesting_shares]]/$B$31</f>
        <v>180.10734299999999</v>
      </c>
      <c r="I27" s="22">
        <v>43013.004826388889</v>
      </c>
      <c r="J27" s="23">
        <f ca="1">_xlfn.DAYS(TODAY(),test3[[#This Row],[timestamp]])</f>
        <v>60</v>
      </c>
      <c r="K27" s="20">
        <v>360214.68599999999</v>
      </c>
      <c r="S27" s="8">
        <v>66</v>
      </c>
      <c r="T27" s="6">
        <v>0</v>
      </c>
    </row>
    <row r="28" spans="1:34" ht="21" x14ac:dyDescent="0.35">
      <c r="D28" s="20">
        <v>190398</v>
      </c>
      <c r="E28" s="20">
        <v>113836532</v>
      </c>
      <c r="F28" s="20" t="s">
        <v>36</v>
      </c>
      <c r="G28" s="20" t="s">
        <v>18</v>
      </c>
      <c r="H28" s="21">
        <f>test3[[#This Row],[vesting_shares]]/$B$31</f>
        <v>0</v>
      </c>
      <c r="I28" s="22">
        <v>43007.908333333333</v>
      </c>
      <c r="J28" s="23">
        <f ca="1">_xlfn.DAYS(TODAY(),test3[[#This Row],[timestamp]])</f>
        <v>66</v>
      </c>
      <c r="K28" s="20">
        <v>0</v>
      </c>
      <c r="S28" s="8">
        <v>68</v>
      </c>
      <c r="T28" s="6">
        <v>0</v>
      </c>
      <c r="AH28" t="s">
        <v>6</v>
      </c>
    </row>
    <row r="29" spans="1:34" ht="21" x14ac:dyDescent="0.35">
      <c r="D29" s="20">
        <v>190123</v>
      </c>
      <c r="E29" s="20">
        <v>112429971</v>
      </c>
      <c r="F29" s="20" t="s">
        <v>37</v>
      </c>
      <c r="G29" s="20" t="s">
        <v>18</v>
      </c>
      <c r="H29" s="21">
        <f>test3[[#This Row],[vesting_shares]]/$B$31</f>
        <v>0</v>
      </c>
      <c r="I29" s="22">
        <v>43005.874305555553</v>
      </c>
      <c r="J29" s="23">
        <f ca="1">_xlfn.DAYS(TODAY(),test3[[#This Row],[timestamp]])</f>
        <v>68</v>
      </c>
      <c r="K29" s="20">
        <v>0</v>
      </c>
      <c r="S29" s="8">
        <v>69</v>
      </c>
      <c r="T29" s="6">
        <v>102.9624965</v>
      </c>
    </row>
    <row r="30" spans="1:34" ht="21" x14ac:dyDescent="0.35">
      <c r="D30" s="20">
        <v>189972</v>
      </c>
      <c r="E30" s="20">
        <v>111595087</v>
      </c>
      <c r="F30" s="20" t="s">
        <v>38</v>
      </c>
      <c r="G30" s="20" t="s">
        <v>18</v>
      </c>
      <c r="H30" s="21">
        <f>test3[[#This Row],[vesting_shares]]/$B$31</f>
        <v>102.9624965</v>
      </c>
      <c r="I30" s="22">
        <v>43004.710625</v>
      </c>
      <c r="J30" s="23">
        <f ca="1">_xlfn.DAYS(TODAY(),test3[[#This Row],[timestamp]])</f>
        <v>69</v>
      </c>
      <c r="K30" s="20">
        <v>205924.99299999999</v>
      </c>
      <c r="S30" s="8">
        <v>73</v>
      </c>
      <c r="T30" s="6">
        <v>21.585999999999999</v>
      </c>
    </row>
    <row r="31" spans="1:34" ht="27.75" x14ac:dyDescent="0.6">
      <c r="A31" s="17" t="s">
        <v>9</v>
      </c>
      <c r="B31" s="18">
        <v>2000</v>
      </c>
      <c r="D31" s="20">
        <v>189458</v>
      </c>
      <c r="E31" s="20">
        <v>108872798</v>
      </c>
      <c r="F31" s="20" t="s">
        <v>39</v>
      </c>
      <c r="G31" s="20" t="s">
        <v>18</v>
      </c>
      <c r="H31" s="21">
        <f>test3[[#This Row],[vesting_shares]]/$B$31</f>
        <v>21.585999999999999</v>
      </c>
      <c r="I31" s="22">
        <v>43000.692708333336</v>
      </c>
      <c r="J31" s="23">
        <f ca="1">_xlfn.DAYS(TODAY(),test3[[#This Row],[timestamp]])</f>
        <v>73</v>
      </c>
      <c r="K31" s="20">
        <v>43172</v>
      </c>
      <c r="S31" s="8">
        <v>76</v>
      </c>
      <c r="T31" s="6">
        <v>10.30012325</v>
      </c>
    </row>
    <row r="32" spans="1:34" ht="21" x14ac:dyDescent="0.35">
      <c r="D32" s="20">
        <v>188978</v>
      </c>
      <c r="E32" s="20">
        <v>106573687</v>
      </c>
      <c r="F32" s="20" t="s">
        <v>40</v>
      </c>
      <c r="G32" s="20" t="s">
        <v>18</v>
      </c>
      <c r="H32" s="21">
        <f>test3[[#This Row],[vesting_shares]]/$B$31</f>
        <v>10.30012325</v>
      </c>
      <c r="I32" s="22">
        <v>42997.574444444443</v>
      </c>
      <c r="J32" s="23">
        <f ca="1">_xlfn.DAYS(TODAY(),test3[[#This Row],[timestamp]])</f>
        <v>76</v>
      </c>
      <c r="K32" s="20">
        <v>20600.246500000001</v>
      </c>
      <c r="S32" s="8">
        <v>80</v>
      </c>
      <c r="T32" s="6">
        <v>10.3024881</v>
      </c>
    </row>
    <row r="33" spans="4:20" ht="21" x14ac:dyDescent="0.35">
      <c r="D33" s="20">
        <v>188321</v>
      </c>
      <c r="E33" s="20">
        <v>103523668</v>
      </c>
      <c r="F33" s="20" t="s">
        <v>41</v>
      </c>
      <c r="G33" s="20" t="s">
        <v>18</v>
      </c>
      <c r="H33" s="21">
        <f>test3[[#This Row],[vesting_shares]]/$B$31</f>
        <v>10.3024881</v>
      </c>
      <c r="I33" s="22">
        <v>42993.255590277775</v>
      </c>
      <c r="J33" s="23">
        <f ca="1">_xlfn.DAYS(TODAY(),test3[[#This Row],[timestamp]])</f>
        <v>80</v>
      </c>
      <c r="K33" s="20">
        <v>20604.976200000001</v>
      </c>
      <c r="S33" s="8">
        <v>82</v>
      </c>
      <c r="T33" s="6">
        <v>10.303229300000002</v>
      </c>
    </row>
    <row r="34" spans="4:20" ht="21" x14ac:dyDescent="0.35">
      <c r="D34" s="20">
        <v>188151</v>
      </c>
      <c r="E34" s="20">
        <v>102627896</v>
      </c>
      <c r="F34" s="20" t="s">
        <v>42</v>
      </c>
      <c r="G34" s="20" t="s">
        <v>18</v>
      </c>
      <c r="H34" s="21">
        <f>test3[[#This Row],[vesting_shares]]/$B$31</f>
        <v>10.303229300000002</v>
      </c>
      <c r="I34" s="22">
        <v>42991.903055555558</v>
      </c>
      <c r="J34" s="23">
        <f ca="1">_xlfn.DAYS(TODAY(),test3[[#This Row],[timestamp]])</f>
        <v>82</v>
      </c>
      <c r="K34" s="20">
        <v>20606.458600000002</v>
      </c>
      <c r="S34" s="8">
        <v>84</v>
      </c>
      <c r="T34" s="6">
        <v>22.6701409</v>
      </c>
    </row>
    <row r="35" spans="4:20" ht="21" x14ac:dyDescent="0.35">
      <c r="D35" s="20">
        <v>187710</v>
      </c>
      <c r="E35" s="20">
        <v>100644061</v>
      </c>
      <c r="F35" s="20" t="s">
        <v>43</v>
      </c>
      <c r="G35" s="20" t="s">
        <v>18</v>
      </c>
      <c r="H35" s="21">
        <f>test3[[#This Row],[vesting_shares]]/$B$31</f>
        <v>11.335053400000001</v>
      </c>
      <c r="I35" s="22">
        <v>42989.402118055557</v>
      </c>
      <c r="J35" s="23">
        <f ca="1">_xlfn.DAYS(TODAY(),test3[[#This Row],[timestamp]])</f>
        <v>84</v>
      </c>
      <c r="K35" s="20">
        <v>22670.106800000001</v>
      </c>
      <c r="S35" s="8">
        <v>85</v>
      </c>
      <c r="T35" s="6">
        <v>10.305254250000001</v>
      </c>
    </row>
    <row r="36" spans="4:20" ht="21" x14ac:dyDescent="0.35">
      <c r="D36" s="20">
        <v>187698</v>
      </c>
      <c r="E36" s="20">
        <v>100612713</v>
      </c>
      <c r="F36" s="20" t="s">
        <v>44</v>
      </c>
      <c r="G36" s="20" t="s">
        <v>18</v>
      </c>
      <c r="H36" s="21">
        <f>test3[[#This Row],[vesting_shares]]/$B$31</f>
        <v>11.3350875</v>
      </c>
      <c r="I36" s="22">
        <v>42989.344409722224</v>
      </c>
      <c r="J36" s="23">
        <f ca="1">_xlfn.DAYS(TODAY(),test3[[#This Row],[timestamp]])</f>
        <v>84</v>
      </c>
      <c r="K36" s="20">
        <v>22670.174999999999</v>
      </c>
      <c r="S36" s="8">
        <v>86</v>
      </c>
      <c r="T36" s="6">
        <v>0</v>
      </c>
    </row>
    <row r="37" spans="4:20" ht="21" x14ac:dyDescent="0.35">
      <c r="D37" s="20">
        <v>187527</v>
      </c>
      <c r="E37" s="20">
        <v>99798645</v>
      </c>
      <c r="F37" s="20" t="s">
        <v>45</v>
      </c>
      <c r="G37" s="20" t="s">
        <v>18</v>
      </c>
      <c r="H37" s="21">
        <f>test3[[#This Row],[vesting_shares]]/$B$31</f>
        <v>10.305254250000001</v>
      </c>
      <c r="I37" s="22">
        <v>42988.193402777775</v>
      </c>
      <c r="J37" s="23">
        <f ca="1">_xlfn.DAYS(TODAY(),test3[[#This Row],[timestamp]])</f>
        <v>85</v>
      </c>
      <c r="K37" s="20">
        <v>20610.5085</v>
      </c>
      <c r="S37" s="8">
        <v>87</v>
      </c>
      <c r="T37" s="6">
        <v>10.3062808</v>
      </c>
    </row>
    <row r="38" spans="4:20" ht="21" x14ac:dyDescent="0.35">
      <c r="D38" s="20">
        <v>187458</v>
      </c>
      <c r="E38" s="20">
        <v>99416558</v>
      </c>
      <c r="F38" s="20" t="s">
        <v>46</v>
      </c>
      <c r="G38" s="20" t="s">
        <v>18</v>
      </c>
      <c r="H38" s="21">
        <f>test3[[#This Row],[vesting_shares]]/$B$31</f>
        <v>0</v>
      </c>
      <c r="I38" s="22">
        <v>42987.645590277774</v>
      </c>
      <c r="J38" s="23">
        <f ca="1">_xlfn.DAYS(TODAY(),test3[[#This Row],[timestamp]])</f>
        <v>86</v>
      </c>
      <c r="K38" s="20">
        <v>0</v>
      </c>
      <c r="S38" s="8">
        <v>88</v>
      </c>
      <c r="T38" s="6">
        <v>206.1354585</v>
      </c>
    </row>
    <row r="39" spans="4:20" ht="21" x14ac:dyDescent="0.35">
      <c r="D39" s="20">
        <v>187236</v>
      </c>
      <c r="E39" s="20">
        <v>98332808</v>
      </c>
      <c r="F39" s="20" t="s">
        <v>47</v>
      </c>
      <c r="G39" s="20" t="s">
        <v>18</v>
      </c>
      <c r="H39" s="21">
        <f>test3[[#This Row],[vesting_shares]]/$B$31</f>
        <v>10.3062808</v>
      </c>
      <c r="I39" s="22">
        <v>42986.309166666666</v>
      </c>
      <c r="J39" s="23">
        <f ca="1">_xlfn.DAYS(TODAY(),test3[[#This Row],[timestamp]])</f>
        <v>87</v>
      </c>
      <c r="K39" s="20">
        <v>20612.561600000001</v>
      </c>
      <c r="S39" s="8">
        <v>90</v>
      </c>
      <c r="T39" s="6">
        <v>25.769548449999998</v>
      </c>
    </row>
    <row r="40" spans="4:20" ht="21" x14ac:dyDescent="0.35">
      <c r="D40" s="20">
        <v>187114</v>
      </c>
      <c r="E40" s="20">
        <v>97599728</v>
      </c>
      <c r="F40" s="20" t="s">
        <v>48</v>
      </c>
      <c r="G40" s="20" t="s">
        <v>18</v>
      </c>
      <c r="H40" s="21">
        <f>test3[[#This Row],[vesting_shares]]/$B$31</f>
        <v>206.1354585</v>
      </c>
      <c r="I40" s="22">
        <v>42985.41</v>
      </c>
      <c r="J40" s="23">
        <f ca="1">_xlfn.DAYS(TODAY(),test3[[#This Row],[timestamp]])</f>
        <v>88</v>
      </c>
      <c r="K40" s="20">
        <v>412270.91700000002</v>
      </c>
      <c r="S40" s="8">
        <v>91</v>
      </c>
      <c r="T40" s="6">
        <v>0</v>
      </c>
    </row>
    <row r="41" spans="4:20" ht="21" x14ac:dyDescent="0.35">
      <c r="D41" s="20">
        <v>186860</v>
      </c>
      <c r="E41" s="20">
        <v>96192301</v>
      </c>
      <c r="F41" s="20" t="s">
        <v>49</v>
      </c>
      <c r="G41" s="20" t="s">
        <v>18</v>
      </c>
      <c r="H41" s="21">
        <f>test3[[#This Row],[vesting_shares]]/$B$31</f>
        <v>0</v>
      </c>
      <c r="I41" s="22">
        <v>42983.535763888889</v>
      </c>
      <c r="J41" s="23">
        <f ca="1">_xlfn.DAYS(TODAY(),test3[[#This Row],[timestamp]])</f>
        <v>90</v>
      </c>
      <c r="K41" s="20">
        <v>0</v>
      </c>
      <c r="S41" s="8">
        <v>92</v>
      </c>
      <c r="T41" s="6">
        <v>10.3087254</v>
      </c>
    </row>
    <row r="42" spans="4:20" ht="21" x14ac:dyDescent="0.35">
      <c r="D42" s="20">
        <v>186852</v>
      </c>
      <c r="E42" s="20">
        <v>96163512</v>
      </c>
      <c r="F42" s="20" t="s">
        <v>17</v>
      </c>
      <c r="G42" s="20" t="s">
        <v>18</v>
      </c>
      <c r="H42" s="21">
        <f>test3[[#This Row],[vesting_shares]]/$B$31</f>
        <v>25.769548449999998</v>
      </c>
      <c r="I42" s="22">
        <v>42983.491319444445</v>
      </c>
      <c r="J42" s="23">
        <f ca="1">_xlfn.DAYS(TODAY(),test3[[#This Row],[timestamp]])</f>
        <v>90</v>
      </c>
      <c r="K42" s="20">
        <v>51539.096899999997</v>
      </c>
      <c r="S42" s="8">
        <v>94</v>
      </c>
      <c r="T42" s="6">
        <v>10.309859149999999</v>
      </c>
    </row>
    <row r="43" spans="4:20" ht="21" x14ac:dyDescent="0.35">
      <c r="D43" s="20">
        <v>186814</v>
      </c>
      <c r="E43" s="20">
        <v>95996791</v>
      </c>
      <c r="F43" s="20" t="s">
        <v>50</v>
      </c>
      <c r="G43" s="20" t="s">
        <v>18</v>
      </c>
      <c r="H43" s="21">
        <f>test3[[#This Row],[vesting_shares]]/$B$31</f>
        <v>0</v>
      </c>
      <c r="I43" s="22">
        <v>42983.221041666664</v>
      </c>
      <c r="J43" s="23">
        <f ca="1">_xlfn.DAYS(TODAY(),test3[[#This Row],[timestamp]])</f>
        <v>90</v>
      </c>
      <c r="K43" s="20">
        <v>0</v>
      </c>
      <c r="S43" s="8">
        <v>96</v>
      </c>
      <c r="T43" s="6">
        <v>43.307141299999998</v>
      </c>
    </row>
    <row r="44" spans="4:20" ht="21" x14ac:dyDescent="0.35">
      <c r="D44" s="20">
        <v>186747</v>
      </c>
      <c r="E44" s="20">
        <v>95754998</v>
      </c>
      <c r="F44" s="20" t="s">
        <v>51</v>
      </c>
      <c r="G44" s="20" t="s">
        <v>18</v>
      </c>
      <c r="H44" s="21">
        <f>test3[[#This Row],[vesting_shares]]/$B$31</f>
        <v>0</v>
      </c>
      <c r="I44" s="22">
        <v>42982.825833333336</v>
      </c>
      <c r="J44" s="23">
        <f ca="1">_xlfn.DAYS(TODAY(),test3[[#This Row],[timestamp]])</f>
        <v>91</v>
      </c>
      <c r="K44" s="20">
        <v>0</v>
      </c>
      <c r="S44" s="8">
        <v>97</v>
      </c>
      <c r="T44" s="6">
        <v>25.779676250000001</v>
      </c>
    </row>
    <row r="45" spans="4:20" ht="21" x14ac:dyDescent="0.35">
      <c r="D45" s="20">
        <v>186569</v>
      </c>
      <c r="E45" s="20">
        <v>95084050</v>
      </c>
      <c r="F45" s="20" t="s">
        <v>52</v>
      </c>
      <c r="G45" s="20" t="s">
        <v>18</v>
      </c>
      <c r="H45" s="21">
        <f>test3[[#This Row],[vesting_shares]]/$B$31</f>
        <v>10.3087254</v>
      </c>
      <c r="I45" s="22">
        <v>42981.829618055555</v>
      </c>
      <c r="J45" s="23">
        <f ca="1">_xlfn.DAYS(TODAY(),test3[[#This Row],[timestamp]])</f>
        <v>92</v>
      </c>
      <c r="K45" s="20">
        <v>20617.450799999999</v>
      </c>
      <c r="S45" s="8">
        <v>98</v>
      </c>
      <c r="T45" s="6">
        <v>103.1223225</v>
      </c>
    </row>
    <row r="46" spans="4:20" ht="21" x14ac:dyDescent="0.35">
      <c r="D46" s="20">
        <v>186205</v>
      </c>
      <c r="E46" s="20">
        <v>93678194</v>
      </c>
      <c r="F46" s="20" t="s">
        <v>53</v>
      </c>
      <c r="G46" s="20" t="s">
        <v>18</v>
      </c>
      <c r="H46" s="21">
        <f>test3[[#This Row],[vesting_shares]]/$B$31</f>
        <v>10.309859149999999</v>
      </c>
      <c r="I46" s="22">
        <v>42979.746076388888</v>
      </c>
      <c r="J46" s="23">
        <f ca="1">_xlfn.DAYS(TODAY(),test3[[#This Row],[timestamp]])</f>
        <v>94</v>
      </c>
      <c r="K46" s="20">
        <v>20619.7183</v>
      </c>
      <c r="S46" s="8">
        <v>101</v>
      </c>
      <c r="T46" s="6">
        <v>227.23456835000002</v>
      </c>
    </row>
    <row r="47" spans="4:20" ht="21" x14ac:dyDescent="0.35">
      <c r="D47" s="20">
        <v>185953</v>
      </c>
      <c r="E47" s="20">
        <v>91976681</v>
      </c>
      <c r="F47" s="20" t="s">
        <v>54</v>
      </c>
      <c r="G47" s="20" t="s">
        <v>18</v>
      </c>
      <c r="H47" s="21">
        <f>test3[[#This Row],[vesting_shares]]/$B$31</f>
        <v>20.6222055</v>
      </c>
      <c r="I47" s="22">
        <v>42977.460868055554</v>
      </c>
      <c r="J47" s="23">
        <f ca="1">_xlfn.DAYS(TODAY(),test3[[#This Row],[timestamp]])</f>
        <v>96</v>
      </c>
      <c r="K47" s="20">
        <v>41244.411</v>
      </c>
      <c r="S47" s="8">
        <v>102</v>
      </c>
      <c r="T47" s="6">
        <v>72.199332499999997</v>
      </c>
    </row>
    <row r="48" spans="4:20" ht="21" x14ac:dyDescent="0.35">
      <c r="D48" s="20">
        <v>185934</v>
      </c>
      <c r="E48" s="20">
        <v>91895193</v>
      </c>
      <c r="F48" s="20" t="s">
        <v>55</v>
      </c>
      <c r="G48" s="20" t="s">
        <v>18</v>
      </c>
      <c r="H48" s="21">
        <f>test3[[#This Row],[vesting_shares]]/$B$31</f>
        <v>2.0622330499999997</v>
      </c>
      <c r="I48" s="22">
        <v>42977.346388888887</v>
      </c>
      <c r="J48" s="23">
        <f ca="1">_xlfn.DAYS(TODAY(),test3[[#This Row],[timestamp]])</f>
        <v>96</v>
      </c>
      <c r="K48" s="20">
        <v>4124.4660999999996</v>
      </c>
      <c r="S48" s="8">
        <v>103</v>
      </c>
      <c r="T48" s="6">
        <v>0</v>
      </c>
    </row>
    <row r="49" spans="4:20" ht="21" x14ac:dyDescent="0.35">
      <c r="D49" s="20">
        <v>185875</v>
      </c>
      <c r="E49" s="20">
        <v>91670195</v>
      </c>
      <c r="F49" s="20" t="s">
        <v>56</v>
      </c>
      <c r="G49" s="20" t="s">
        <v>18</v>
      </c>
      <c r="H49" s="21">
        <f>test3[[#This Row],[vesting_shares]]/$B$31</f>
        <v>20.622702750000002</v>
      </c>
      <c r="I49" s="22">
        <v>42977.005590277775</v>
      </c>
      <c r="J49" s="23">
        <f ca="1">_xlfn.DAYS(TODAY(),test3[[#This Row],[timestamp]])</f>
        <v>96</v>
      </c>
      <c r="K49" s="20">
        <v>41245.405500000001</v>
      </c>
      <c r="S49" s="8">
        <v>104</v>
      </c>
      <c r="T49" s="6">
        <v>221.77932544999999</v>
      </c>
    </row>
    <row r="50" spans="4:20" ht="21" x14ac:dyDescent="0.35">
      <c r="D50" s="20">
        <v>185776</v>
      </c>
      <c r="E50" s="20">
        <v>91009737</v>
      </c>
      <c r="F50" s="20" t="s">
        <v>57</v>
      </c>
      <c r="G50" s="20" t="s">
        <v>18</v>
      </c>
      <c r="H50" s="21">
        <f>test3[[#This Row],[vesting_shares]]/$B$31</f>
        <v>25.779676250000001</v>
      </c>
      <c r="I50" s="22">
        <v>42976.049444444441</v>
      </c>
      <c r="J50" s="23">
        <f ca="1">_xlfn.DAYS(TODAY(),test3[[#This Row],[timestamp]])</f>
        <v>97</v>
      </c>
      <c r="K50" s="20">
        <v>51559.352500000001</v>
      </c>
      <c r="S50" s="8">
        <v>105</v>
      </c>
      <c r="T50" s="6">
        <v>0</v>
      </c>
    </row>
    <row r="51" spans="4:20" ht="21" x14ac:dyDescent="0.35">
      <c r="D51" s="20">
        <v>185686</v>
      </c>
      <c r="E51" s="20">
        <v>90511173</v>
      </c>
      <c r="F51" s="20" t="s">
        <v>58</v>
      </c>
      <c r="G51" s="20" t="s">
        <v>18</v>
      </c>
      <c r="H51" s="21">
        <f>test3[[#This Row],[vesting_shares]]/$B$31</f>
        <v>103.1223225</v>
      </c>
      <c r="I51" s="22">
        <v>42975.381597222222</v>
      </c>
      <c r="J51" s="23">
        <f ca="1">_xlfn.DAYS(TODAY(),test3[[#This Row],[timestamp]])</f>
        <v>98</v>
      </c>
      <c r="K51" s="20">
        <v>206244.64499999999</v>
      </c>
      <c r="S51" s="8">
        <v>106</v>
      </c>
      <c r="T51" s="6">
        <v>10.3166627</v>
      </c>
    </row>
    <row r="52" spans="4:20" ht="21" x14ac:dyDescent="0.35">
      <c r="D52" s="20">
        <v>185346</v>
      </c>
      <c r="E52" s="20">
        <v>88777073</v>
      </c>
      <c r="F52" s="20" t="s">
        <v>59</v>
      </c>
      <c r="G52" s="20" t="s">
        <v>18</v>
      </c>
      <c r="H52" s="21">
        <f>test3[[#This Row],[vesting_shares]]/$B$31</f>
        <v>103.13654175000001</v>
      </c>
      <c r="I52" s="22">
        <v>42972.767152777778</v>
      </c>
      <c r="J52" s="23">
        <f ca="1">_xlfn.DAYS(TODAY(),test3[[#This Row],[timestamp]])</f>
        <v>101</v>
      </c>
      <c r="K52" s="20">
        <v>206273.08350000001</v>
      </c>
      <c r="S52" s="8">
        <v>112</v>
      </c>
      <c r="T52" s="6">
        <v>123.8364139</v>
      </c>
    </row>
    <row r="53" spans="4:20" ht="21" x14ac:dyDescent="0.35">
      <c r="D53" s="20">
        <v>185318</v>
      </c>
      <c r="E53" s="20">
        <v>88585304</v>
      </c>
      <c r="F53" s="20" t="s">
        <v>60</v>
      </c>
      <c r="G53" s="20" t="s">
        <v>18</v>
      </c>
      <c r="H53" s="21">
        <f>test3[[#This Row],[vesting_shares]]/$B$31</f>
        <v>10.3137747</v>
      </c>
      <c r="I53" s="22">
        <v>42972.54583333333</v>
      </c>
      <c r="J53" s="23">
        <f ca="1">_xlfn.DAYS(TODAY(),test3[[#This Row],[timestamp]])</f>
        <v>101</v>
      </c>
      <c r="K53" s="20">
        <v>20627.5494</v>
      </c>
      <c r="S53" s="8">
        <v>115</v>
      </c>
      <c r="T53" s="6">
        <v>72.251792350000002</v>
      </c>
    </row>
    <row r="54" spans="4:20" ht="21" x14ac:dyDescent="0.35">
      <c r="D54" s="20">
        <v>185294</v>
      </c>
      <c r="E54" s="20">
        <v>88463519</v>
      </c>
      <c r="F54" s="20" t="s">
        <v>61</v>
      </c>
      <c r="G54" s="20" t="s">
        <v>18</v>
      </c>
      <c r="H54" s="21">
        <f>test3[[#This Row],[vesting_shares]]/$B$31</f>
        <v>10.3138548</v>
      </c>
      <c r="I54" s="22">
        <v>42972.398263888892</v>
      </c>
      <c r="J54" s="23">
        <f ca="1">_xlfn.DAYS(TODAY(),test3[[#This Row],[timestamp]])</f>
        <v>101</v>
      </c>
      <c r="K54" s="20">
        <v>20627.709599999998</v>
      </c>
      <c r="S54" s="8">
        <v>119</v>
      </c>
      <c r="T54" s="6">
        <v>10.3234277</v>
      </c>
    </row>
    <row r="55" spans="4:20" ht="21" x14ac:dyDescent="0.35">
      <c r="D55" s="20">
        <v>185289</v>
      </c>
      <c r="E55" s="20">
        <v>88426878</v>
      </c>
      <c r="F55" s="20" t="s">
        <v>62</v>
      </c>
      <c r="G55" s="20" t="s">
        <v>18</v>
      </c>
      <c r="H55" s="21">
        <f>test3[[#This Row],[vesting_shares]]/$B$31</f>
        <v>103.4703971</v>
      </c>
      <c r="I55" s="22">
        <v>42972.345486111109</v>
      </c>
      <c r="J55" s="23">
        <f ca="1">_xlfn.DAYS(TODAY(),test3[[#This Row],[timestamp]])</f>
        <v>101</v>
      </c>
      <c r="K55" s="20">
        <v>206940.7942</v>
      </c>
      <c r="S55" s="8">
        <v>120</v>
      </c>
      <c r="T55" s="6">
        <v>10.32398585</v>
      </c>
    </row>
    <row r="56" spans="4:20" ht="21" x14ac:dyDescent="0.35">
      <c r="D56" s="20">
        <v>185250</v>
      </c>
      <c r="E56" s="20">
        <v>88023785</v>
      </c>
      <c r="F56" s="20" t="s">
        <v>63</v>
      </c>
      <c r="G56" s="20" t="s">
        <v>18</v>
      </c>
      <c r="H56" s="21">
        <f>test3[[#This Row],[vesting_shares]]/$B$31</f>
        <v>72.199332499999997</v>
      </c>
      <c r="I56" s="22">
        <v>42971.782395833332</v>
      </c>
      <c r="J56" s="23">
        <f ca="1">_xlfn.DAYS(TODAY(),test3[[#This Row],[timestamp]])</f>
        <v>102</v>
      </c>
      <c r="K56" s="20">
        <v>144398.66500000001</v>
      </c>
      <c r="S56" s="8">
        <v>121</v>
      </c>
      <c r="T56" s="6">
        <v>10.9925</v>
      </c>
    </row>
    <row r="57" spans="4:20" ht="21" x14ac:dyDescent="0.35">
      <c r="D57" s="20">
        <v>185119</v>
      </c>
      <c r="E57" s="20">
        <v>87310795</v>
      </c>
      <c r="F57" s="20" t="s">
        <v>64</v>
      </c>
      <c r="G57" s="20" t="s">
        <v>18</v>
      </c>
      <c r="H57" s="21">
        <f>test3[[#This Row],[vesting_shares]]/$B$31</f>
        <v>0</v>
      </c>
      <c r="I57" s="22">
        <v>42970.814965277779</v>
      </c>
      <c r="J57" s="23">
        <f ca="1">_xlfn.DAYS(TODAY(),test3[[#This Row],[timestamp]])</f>
        <v>103</v>
      </c>
      <c r="K57" s="20">
        <v>0</v>
      </c>
      <c r="S57" s="8">
        <v>123</v>
      </c>
      <c r="T57" s="6">
        <v>165.21621800000003</v>
      </c>
    </row>
    <row r="58" spans="4:20" ht="21" x14ac:dyDescent="0.35">
      <c r="D58" s="20">
        <v>185073</v>
      </c>
      <c r="E58" s="20">
        <v>86989510</v>
      </c>
      <c r="F58" s="20" t="s">
        <v>65</v>
      </c>
      <c r="G58" s="20" t="s">
        <v>18</v>
      </c>
      <c r="H58" s="21">
        <f>test3[[#This Row],[vesting_shares]]/$B$31</f>
        <v>0</v>
      </c>
      <c r="I58" s="22">
        <v>42970.451354166667</v>
      </c>
      <c r="J58" s="23">
        <f ca="1">_xlfn.DAYS(TODAY(),test3[[#This Row],[timestamp]])</f>
        <v>103</v>
      </c>
      <c r="K58" s="20">
        <v>0</v>
      </c>
      <c r="S58" s="8">
        <v>124</v>
      </c>
      <c r="T58" s="6">
        <v>139.83688835000001</v>
      </c>
    </row>
    <row r="59" spans="4:20" ht="21" x14ac:dyDescent="0.35">
      <c r="D59" s="20">
        <v>184977</v>
      </c>
      <c r="E59" s="20">
        <v>86512786</v>
      </c>
      <c r="F59" s="20" t="s">
        <v>13</v>
      </c>
      <c r="G59" s="20" t="s">
        <v>18</v>
      </c>
      <c r="H59" s="21">
        <f>test3[[#This Row],[vesting_shares]]/$B$31</f>
        <v>103.15292885</v>
      </c>
      <c r="I59" s="22">
        <v>42969.759513888886</v>
      </c>
      <c r="J59" s="23">
        <f ca="1">_xlfn.DAYS(TODAY(),test3[[#This Row],[timestamp]])</f>
        <v>104</v>
      </c>
      <c r="K59" s="20">
        <v>206305.85769999999</v>
      </c>
      <c r="S59" s="8">
        <v>127</v>
      </c>
      <c r="T59" s="6">
        <v>103.2789235</v>
      </c>
    </row>
    <row r="60" spans="4:20" ht="21" x14ac:dyDescent="0.35">
      <c r="D60" s="20">
        <v>184961</v>
      </c>
      <c r="E60" s="20">
        <v>86453928</v>
      </c>
      <c r="F60" s="20" t="s">
        <v>66</v>
      </c>
      <c r="G60" s="20" t="s">
        <v>18</v>
      </c>
      <c r="H60" s="21">
        <f>test3[[#This Row],[vesting_shares]]/$B$31</f>
        <v>15.472996950000001</v>
      </c>
      <c r="I60" s="22">
        <v>42969.689513888887</v>
      </c>
      <c r="J60" s="23">
        <f ca="1">_xlfn.DAYS(TODAY(),test3[[#This Row],[timestamp]])</f>
        <v>104</v>
      </c>
      <c r="K60" s="20">
        <v>30945.993900000001</v>
      </c>
      <c r="S60" s="8">
        <v>128</v>
      </c>
      <c r="T60" s="6">
        <v>10.328521650000001</v>
      </c>
    </row>
    <row r="61" spans="4:20" ht="21" x14ac:dyDescent="0.35">
      <c r="D61" s="20">
        <v>184957</v>
      </c>
      <c r="E61" s="20">
        <v>86440469</v>
      </c>
      <c r="F61" s="20" t="s">
        <v>67</v>
      </c>
      <c r="G61" s="20" t="s">
        <v>18</v>
      </c>
      <c r="H61" s="21">
        <f>test3[[#This Row],[vesting_shares]]/$B$31</f>
        <v>103.15339965000001</v>
      </c>
      <c r="I61" s="22">
        <v>42969.673125000001</v>
      </c>
      <c r="J61" s="23">
        <f ca="1">_xlfn.DAYS(TODAY(),test3[[#This Row],[timestamp]])</f>
        <v>104</v>
      </c>
      <c r="K61" s="20">
        <v>206306.79930000001</v>
      </c>
      <c r="S61" s="8">
        <v>130</v>
      </c>
      <c r="T61" s="6">
        <v>25.824568899999999</v>
      </c>
    </row>
    <row r="62" spans="4:20" ht="21" x14ac:dyDescent="0.35">
      <c r="D62" s="20">
        <v>184747</v>
      </c>
      <c r="E62" s="20">
        <v>85406142</v>
      </c>
      <c r="F62" s="20" t="s">
        <v>68</v>
      </c>
      <c r="G62" s="20" t="s">
        <v>18</v>
      </c>
      <c r="H62" s="21">
        <f>test3[[#This Row],[vesting_shares]]/$B$31</f>
        <v>0</v>
      </c>
      <c r="I62" s="22">
        <v>42968.095520833333</v>
      </c>
      <c r="J62" s="23">
        <f ca="1">_xlfn.DAYS(TODAY(),test3[[#This Row],[timestamp]])</f>
        <v>105</v>
      </c>
      <c r="K62" s="20">
        <v>0</v>
      </c>
      <c r="S62" s="8">
        <v>132</v>
      </c>
      <c r="T62" s="6">
        <v>10.330847050000001</v>
      </c>
    </row>
    <row r="63" spans="4:20" ht="21" x14ac:dyDescent="0.35">
      <c r="D63" s="20">
        <v>184673</v>
      </c>
      <c r="E63" s="20">
        <v>85007404</v>
      </c>
      <c r="F63" s="20" t="s">
        <v>69</v>
      </c>
      <c r="G63" s="20" t="s">
        <v>18</v>
      </c>
      <c r="H63" s="21">
        <f>test3[[#This Row],[vesting_shares]]/$B$31</f>
        <v>0</v>
      </c>
      <c r="I63" s="22">
        <v>42967.448576388888</v>
      </c>
      <c r="J63" s="23">
        <f ca="1">_xlfn.DAYS(TODAY(),test3[[#This Row],[timestamp]])</f>
        <v>106</v>
      </c>
      <c r="K63" s="20">
        <v>0</v>
      </c>
      <c r="S63" s="8">
        <v>133</v>
      </c>
      <c r="T63" s="6">
        <v>41.3241595</v>
      </c>
    </row>
    <row r="64" spans="4:20" ht="21" x14ac:dyDescent="0.35">
      <c r="D64" s="20">
        <v>184654</v>
      </c>
      <c r="E64" s="20">
        <v>84920758</v>
      </c>
      <c r="F64" s="20" t="s">
        <v>70</v>
      </c>
      <c r="G64" s="20" t="s">
        <v>18</v>
      </c>
      <c r="H64" s="21">
        <f>test3[[#This Row],[vesting_shares]]/$B$31</f>
        <v>10.3166627</v>
      </c>
      <c r="I64" s="22">
        <v>42967.251319444447</v>
      </c>
      <c r="J64" s="23">
        <f ca="1">_xlfn.DAYS(TODAY(),test3[[#This Row],[timestamp]])</f>
        <v>106</v>
      </c>
      <c r="K64" s="20">
        <v>20633.325400000002</v>
      </c>
      <c r="S64" s="8">
        <v>137</v>
      </c>
      <c r="T64" s="6">
        <v>10.333678449999999</v>
      </c>
    </row>
    <row r="65" spans="4:20" ht="21" x14ac:dyDescent="0.35">
      <c r="D65" s="20">
        <v>183726</v>
      </c>
      <c r="E65" s="20">
        <v>81667272</v>
      </c>
      <c r="F65" s="20" t="s">
        <v>71</v>
      </c>
      <c r="G65" s="20" t="s">
        <v>18</v>
      </c>
      <c r="H65" s="21">
        <f>test3[[#This Row],[vesting_shares]]/$B$31</f>
        <v>10.319659</v>
      </c>
      <c r="I65" s="22">
        <v>42961.756006944444</v>
      </c>
      <c r="J65" s="23">
        <f ca="1">_xlfn.DAYS(TODAY(),test3[[#This Row],[timestamp]])</f>
        <v>112</v>
      </c>
      <c r="K65" s="20">
        <v>20639.317999999999</v>
      </c>
      <c r="S65" s="8">
        <v>140</v>
      </c>
      <c r="T65" s="6">
        <v>25.838017749999999</v>
      </c>
    </row>
    <row r="66" spans="4:20" ht="21" x14ac:dyDescent="0.35">
      <c r="D66" s="20">
        <v>183713</v>
      </c>
      <c r="E66" s="20">
        <v>81609558</v>
      </c>
      <c r="F66" s="20" t="s">
        <v>72</v>
      </c>
      <c r="G66" s="20" t="s">
        <v>18</v>
      </c>
      <c r="H66" s="21">
        <f>test3[[#This Row],[vesting_shares]]/$B$31</f>
        <v>113.5167549</v>
      </c>
      <c r="I66" s="22">
        <v>42961.671284722222</v>
      </c>
      <c r="J66" s="23">
        <f ca="1">_xlfn.DAYS(TODAY(),test3[[#This Row],[timestamp]])</f>
        <v>112</v>
      </c>
      <c r="K66" s="20">
        <v>227033.5098</v>
      </c>
      <c r="S66" s="8">
        <v>144</v>
      </c>
      <c r="T66" s="6">
        <v>36.18132885</v>
      </c>
    </row>
    <row r="67" spans="4:20" ht="21" x14ac:dyDescent="0.35">
      <c r="D67" s="20">
        <v>183215</v>
      </c>
      <c r="E67" s="20">
        <v>79191134</v>
      </c>
      <c r="F67" s="20" t="s">
        <v>15</v>
      </c>
      <c r="G67" s="20" t="s">
        <v>18</v>
      </c>
      <c r="H67" s="21">
        <f>test3[[#This Row],[vesting_shares]]/$B$31</f>
        <v>72.251792350000002</v>
      </c>
      <c r="I67" s="22">
        <v>42958.015625</v>
      </c>
      <c r="J67" s="23">
        <f ca="1">_xlfn.DAYS(TODAY(),test3[[#This Row],[timestamp]])</f>
        <v>115</v>
      </c>
      <c r="K67" s="20">
        <v>144503.58470000001</v>
      </c>
      <c r="S67" s="8">
        <v>145</v>
      </c>
      <c r="T67" s="6">
        <v>103.38129549999999</v>
      </c>
    </row>
    <row r="68" spans="4:20" ht="21" x14ac:dyDescent="0.35">
      <c r="D68" s="20">
        <v>182710</v>
      </c>
      <c r="E68" s="20">
        <v>76573931</v>
      </c>
      <c r="F68" s="20" t="s">
        <v>73</v>
      </c>
      <c r="G68" s="20" t="s">
        <v>18</v>
      </c>
      <c r="H68" s="21">
        <f>test3[[#This Row],[vesting_shares]]/$B$31</f>
        <v>10.3234277</v>
      </c>
      <c r="I68" s="22">
        <v>42954.819618055553</v>
      </c>
      <c r="J68" s="23">
        <f ca="1">_xlfn.DAYS(TODAY(),test3[[#This Row],[timestamp]])</f>
        <v>119</v>
      </c>
      <c r="K68" s="20">
        <v>20646.8554</v>
      </c>
      <c r="S68" s="8">
        <v>146</v>
      </c>
      <c r="T68" s="6">
        <v>51.693124949999998</v>
      </c>
    </row>
    <row r="69" spans="4:20" ht="21" x14ac:dyDescent="0.35">
      <c r="D69" s="20">
        <v>182599</v>
      </c>
      <c r="E69" s="20">
        <v>75990691</v>
      </c>
      <c r="F69" s="20" t="s">
        <v>74</v>
      </c>
      <c r="G69" s="20" t="s">
        <v>18</v>
      </c>
      <c r="H69" s="21">
        <f>test3[[#This Row],[vesting_shares]]/$B$31</f>
        <v>10.32398585</v>
      </c>
      <c r="I69" s="22">
        <v>42953.797569444447</v>
      </c>
      <c r="J69" s="23">
        <f ca="1">_xlfn.DAYS(TODAY(),test3[[#This Row],[timestamp]])</f>
        <v>120</v>
      </c>
      <c r="K69" s="20">
        <v>20647.971699999998</v>
      </c>
      <c r="S69" s="8" t="s">
        <v>104</v>
      </c>
      <c r="T69" s="6">
        <v>3050.2573273500002</v>
      </c>
    </row>
    <row r="70" spans="4:20" ht="21" x14ac:dyDescent="0.35">
      <c r="D70" s="20">
        <v>182453</v>
      </c>
      <c r="E70" s="20">
        <v>75414457</v>
      </c>
      <c r="F70" s="20" t="s">
        <v>75</v>
      </c>
      <c r="G70" s="20" t="s">
        <v>18</v>
      </c>
      <c r="H70" s="21">
        <f>test3[[#This Row],[vesting_shares]]/$B$31</f>
        <v>10.9925</v>
      </c>
      <c r="I70" s="22">
        <v>42952.826354166667</v>
      </c>
      <c r="J70" s="23">
        <f ca="1">_xlfn.DAYS(TODAY(),test3[[#This Row],[timestamp]])</f>
        <v>121</v>
      </c>
      <c r="K70" s="20">
        <v>21985</v>
      </c>
    </row>
    <row r="71" spans="4:20" ht="21" x14ac:dyDescent="0.35">
      <c r="D71" s="20">
        <v>182361</v>
      </c>
      <c r="E71" s="20">
        <v>74771745</v>
      </c>
      <c r="F71" s="20" t="s">
        <v>76</v>
      </c>
      <c r="G71" s="20" t="s">
        <v>18</v>
      </c>
      <c r="H71" s="21">
        <f>test3[[#This Row],[vesting_shares]]/$B$31</f>
        <v>258.12605454999999</v>
      </c>
      <c r="I71" s="22">
        <v>42951.863576388889</v>
      </c>
      <c r="J71" s="23">
        <f ca="1">_xlfn.DAYS(TODAY(),test3[[#This Row],[timestamp]])</f>
        <v>122</v>
      </c>
      <c r="K71" s="20">
        <v>516252.1091</v>
      </c>
    </row>
    <row r="72" spans="4:20" ht="21" x14ac:dyDescent="0.35">
      <c r="D72" s="20">
        <v>70396</v>
      </c>
      <c r="E72" s="20">
        <v>73808891</v>
      </c>
      <c r="F72" s="20" t="s">
        <v>77</v>
      </c>
      <c r="G72" s="20" t="s">
        <v>18</v>
      </c>
      <c r="H72" s="21">
        <f>test3[[#This Row],[vesting_shares]]/$B$31</f>
        <v>10.32582625</v>
      </c>
      <c r="I72" s="22">
        <v>42950.420729166668</v>
      </c>
      <c r="J72" s="23">
        <f ca="1">_xlfn.DAYS(TODAY(),test3[[#This Row],[timestamp]])</f>
        <v>123</v>
      </c>
      <c r="K72" s="20">
        <v>20651.6525</v>
      </c>
    </row>
    <row r="73" spans="4:20" ht="21" x14ac:dyDescent="0.35">
      <c r="D73" s="20">
        <v>70353</v>
      </c>
      <c r="E73" s="20">
        <v>73627485</v>
      </c>
      <c r="F73" s="20" t="s">
        <v>78</v>
      </c>
      <c r="G73" s="20" t="s">
        <v>18</v>
      </c>
      <c r="H73" s="21">
        <f>test3[[#This Row],[vesting_shares]]/$B$31</f>
        <v>154.89039175000002</v>
      </c>
      <c r="I73" s="22">
        <v>42950.055347222224</v>
      </c>
      <c r="J73" s="23">
        <f ca="1">_xlfn.DAYS(TODAY(),test3[[#This Row],[timestamp]])</f>
        <v>123</v>
      </c>
      <c r="K73" s="20">
        <v>309780.78350000002</v>
      </c>
    </row>
    <row r="74" spans="4:20" ht="21" x14ac:dyDescent="0.35">
      <c r="D74" s="20">
        <v>70279</v>
      </c>
      <c r="E74" s="20">
        <v>73216696</v>
      </c>
      <c r="F74" s="20" t="s">
        <v>79</v>
      </c>
      <c r="G74" s="20" t="s">
        <v>18</v>
      </c>
      <c r="H74" s="21">
        <f>test3[[#This Row],[vesting_shares]]/$B$31</f>
        <v>129.07988835</v>
      </c>
      <c r="I74" s="22">
        <v>42949.389930555553</v>
      </c>
      <c r="J74" s="23">
        <f ca="1">_xlfn.DAYS(TODAY(),test3[[#This Row],[timestamp]])</f>
        <v>124</v>
      </c>
      <c r="K74" s="20">
        <v>258159.77669999999</v>
      </c>
    </row>
    <row r="75" spans="4:20" ht="21" x14ac:dyDescent="0.35">
      <c r="D75" s="20">
        <v>70220</v>
      </c>
      <c r="E75" s="20">
        <v>72995088</v>
      </c>
      <c r="F75" s="20" t="s">
        <v>80</v>
      </c>
      <c r="G75" s="20" t="s">
        <v>18</v>
      </c>
      <c r="H75" s="21">
        <f>test3[[#This Row],[vesting_shares]]/$B$31</f>
        <v>10.757</v>
      </c>
      <c r="I75" s="22">
        <v>42949.057118055556</v>
      </c>
      <c r="J75" s="23">
        <f ca="1">_xlfn.DAYS(TODAY(),test3[[#This Row],[timestamp]])</f>
        <v>124</v>
      </c>
      <c r="K75" s="20">
        <v>21514</v>
      </c>
    </row>
    <row r="76" spans="4:20" ht="21" x14ac:dyDescent="0.35">
      <c r="D76" s="20">
        <v>69852</v>
      </c>
      <c r="E76" s="20">
        <v>71385720</v>
      </c>
      <c r="F76" s="20" t="s">
        <v>81</v>
      </c>
      <c r="G76" s="20" t="s">
        <v>18</v>
      </c>
      <c r="H76" s="21">
        <f>test3[[#This Row],[vesting_shares]]/$B$31</f>
        <v>103.2789235</v>
      </c>
      <c r="I76" s="22">
        <v>42946.645798611113</v>
      </c>
      <c r="J76" s="23">
        <f ca="1">_xlfn.DAYS(TODAY(),test3[[#This Row],[timestamp]])</f>
        <v>127</v>
      </c>
      <c r="K76" s="20">
        <v>206557.84700000001</v>
      </c>
    </row>
    <row r="77" spans="4:20" ht="21" x14ac:dyDescent="0.35">
      <c r="D77" s="20">
        <v>69779</v>
      </c>
      <c r="E77" s="20">
        <v>70761789</v>
      </c>
      <c r="F77" s="20" t="s">
        <v>82</v>
      </c>
      <c r="G77" s="20" t="s">
        <v>18</v>
      </c>
      <c r="H77" s="21">
        <f>test3[[#This Row],[vesting_shares]]/$B$31</f>
        <v>10.328521650000001</v>
      </c>
      <c r="I77" s="22">
        <v>42945.49454861111</v>
      </c>
      <c r="J77" s="23">
        <f ca="1">_xlfn.DAYS(TODAY(),test3[[#This Row],[timestamp]])</f>
        <v>128</v>
      </c>
      <c r="K77" s="20">
        <v>20657.043300000001</v>
      </c>
    </row>
    <row r="78" spans="4:20" ht="21" x14ac:dyDescent="0.35">
      <c r="D78" s="20">
        <v>69769</v>
      </c>
      <c r="E78" s="20">
        <v>70673756</v>
      </c>
      <c r="F78" s="20" t="s">
        <v>83</v>
      </c>
      <c r="G78" s="20" t="s">
        <v>18</v>
      </c>
      <c r="H78" s="21">
        <f>test3[[#This Row],[vesting_shares]]/$B$31</f>
        <v>0</v>
      </c>
      <c r="I78" s="22">
        <v>42945.336701388886</v>
      </c>
      <c r="J78" s="23">
        <f ca="1">_xlfn.DAYS(TODAY(),test3[[#This Row],[timestamp]])</f>
        <v>128</v>
      </c>
      <c r="K78" s="20">
        <v>0</v>
      </c>
    </row>
    <row r="79" spans="4:20" ht="21" x14ac:dyDescent="0.35">
      <c r="D79" s="20">
        <v>69537</v>
      </c>
      <c r="E79" s="20">
        <v>69329982</v>
      </c>
      <c r="F79" s="20" t="s">
        <v>84</v>
      </c>
      <c r="G79" s="20" t="s">
        <v>18</v>
      </c>
      <c r="H79" s="21">
        <f>test3[[#This Row],[vesting_shares]]/$B$31</f>
        <v>25.824568899999999</v>
      </c>
      <c r="I79" s="22">
        <v>42943.104756944442</v>
      </c>
      <c r="J79" s="23">
        <f ca="1">_xlfn.DAYS(TODAY(),test3[[#This Row],[timestamp]])</f>
        <v>130</v>
      </c>
      <c r="K79" s="20">
        <v>51649.137799999997</v>
      </c>
    </row>
    <row r="80" spans="4:20" ht="21" x14ac:dyDescent="0.35">
      <c r="D80" s="20">
        <v>69294</v>
      </c>
      <c r="E80" s="20">
        <v>67807774</v>
      </c>
      <c r="F80" s="20" t="s">
        <v>85</v>
      </c>
      <c r="G80" s="20" t="s">
        <v>18</v>
      </c>
      <c r="H80" s="21">
        <f>test3[[#This Row],[vesting_shares]]/$B$31</f>
        <v>10.330847050000001</v>
      </c>
      <c r="I80" s="22">
        <v>42941.23364583333</v>
      </c>
      <c r="J80" s="23">
        <f ca="1">_xlfn.DAYS(TODAY(),test3[[#This Row],[timestamp]])</f>
        <v>132</v>
      </c>
      <c r="K80" s="20">
        <v>20661.694100000001</v>
      </c>
    </row>
    <row r="81" spans="4:11" ht="21" x14ac:dyDescent="0.35">
      <c r="D81" s="20">
        <v>69271</v>
      </c>
      <c r="E81" s="20">
        <v>67667521</v>
      </c>
      <c r="F81" s="20" t="s">
        <v>86</v>
      </c>
      <c r="G81" s="20" t="s">
        <v>18</v>
      </c>
      <c r="H81" s="21">
        <f>test3[[#This Row],[vesting_shares]]/$B$31</f>
        <v>10.33097955</v>
      </c>
      <c r="I81" s="22">
        <v>42940.990381944444</v>
      </c>
      <c r="J81" s="23">
        <f ca="1">_xlfn.DAYS(TODAY(),test3[[#This Row],[timestamp]])</f>
        <v>133</v>
      </c>
      <c r="K81" s="20">
        <v>20661.9591</v>
      </c>
    </row>
    <row r="82" spans="4:11" ht="21" x14ac:dyDescent="0.35">
      <c r="D82" s="20">
        <v>69266</v>
      </c>
      <c r="E82" s="20">
        <v>67633045</v>
      </c>
      <c r="F82" s="20" t="s">
        <v>87</v>
      </c>
      <c r="G82" s="20" t="s">
        <v>18</v>
      </c>
      <c r="H82" s="21">
        <f>test3[[#This Row],[vesting_shares]]/$B$31</f>
        <v>10.331007900000001</v>
      </c>
      <c r="I82" s="22">
        <v>42940.939097222225</v>
      </c>
      <c r="J82" s="23">
        <f ca="1">_xlfn.DAYS(TODAY(),test3[[#This Row],[timestamp]])</f>
        <v>133</v>
      </c>
      <c r="K82" s="20">
        <v>20662.015800000001</v>
      </c>
    </row>
    <row r="83" spans="4:11" ht="21" x14ac:dyDescent="0.35">
      <c r="D83" s="20">
        <v>69261</v>
      </c>
      <c r="E83" s="20">
        <v>67588954</v>
      </c>
      <c r="F83" s="20" t="s">
        <v>88</v>
      </c>
      <c r="G83" s="20" t="s">
        <v>18</v>
      </c>
      <c r="H83" s="21">
        <f>test3[[#This Row],[vesting_shares]]/$B$31</f>
        <v>10.33103865</v>
      </c>
      <c r="I83" s="22">
        <v>42940.881909722222</v>
      </c>
      <c r="J83" s="23">
        <f ca="1">_xlfn.DAYS(TODAY(),test3[[#This Row],[timestamp]])</f>
        <v>133</v>
      </c>
      <c r="K83" s="20">
        <v>20662.077300000001</v>
      </c>
    </row>
    <row r="84" spans="4:11" ht="21" x14ac:dyDescent="0.35">
      <c r="D84" s="20">
        <v>69237</v>
      </c>
      <c r="E84" s="20">
        <v>67440819</v>
      </c>
      <c r="F84" s="20" t="s">
        <v>89</v>
      </c>
      <c r="G84" s="20" t="s">
        <v>18</v>
      </c>
      <c r="H84" s="21">
        <f>test3[[#This Row],[vesting_shares]]/$B$31</f>
        <v>10.331133400000001</v>
      </c>
      <c r="I84" s="22">
        <v>42940.708437499998</v>
      </c>
      <c r="J84" s="23">
        <f ca="1">_xlfn.DAYS(TODAY(),test3[[#This Row],[timestamp]])</f>
        <v>133</v>
      </c>
      <c r="K84" s="20">
        <v>20662.266800000001</v>
      </c>
    </row>
    <row r="85" spans="4:11" ht="21" x14ac:dyDescent="0.35">
      <c r="D85" s="20">
        <v>68888</v>
      </c>
      <c r="E85" s="20">
        <v>64476803</v>
      </c>
      <c r="F85" s="20" t="s">
        <v>90</v>
      </c>
      <c r="G85" s="20" t="s">
        <v>18</v>
      </c>
      <c r="H85" s="21">
        <f>test3[[#This Row],[vesting_shares]]/$B$31</f>
        <v>10.333678449999999</v>
      </c>
      <c r="I85" s="22">
        <v>42936.056770833333</v>
      </c>
      <c r="J85" s="23">
        <f ca="1">_xlfn.DAYS(TODAY(),test3[[#This Row],[timestamp]])</f>
        <v>137</v>
      </c>
      <c r="K85" s="20">
        <v>20667.356899999999</v>
      </c>
    </row>
    <row r="86" spans="4:11" ht="21" x14ac:dyDescent="0.35">
      <c r="D86" s="20">
        <v>68493</v>
      </c>
      <c r="E86" s="20">
        <v>62867853</v>
      </c>
      <c r="F86" s="20" t="s">
        <v>91</v>
      </c>
      <c r="G86" s="20" t="s">
        <v>18</v>
      </c>
      <c r="H86" s="21">
        <f>test3[[#This Row],[vesting_shares]]/$B$31</f>
        <v>25.838017749999999</v>
      </c>
      <c r="I86" s="22">
        <v>42933.299409722225</v>
      </c>
      <c r="J86" s="23">
        <f ca="1">_xlfn.DAYS(TODAY(),test3[[#This Row],[timestamp]])</f>
        <v>140</v>
      </c>
      <c r="K86" s="20">
        <v>51676.035499999998</v>
      </c>
    </row>
    <row r="87" spans="4:11" ht="21" x14ac:dyDescent="0.35">
      <c r="D87" s="20">
        <v>68231</v>
      </c>
      <c r="E87" s="20">
        <v>61431555</v>
      </c>
      <c r="F87" s="20" t="s">
        <v>92</v>
      </c>
      <c r="G87" s="20" t="s">
        <v>18</v>
      </c>
      <c r="H87" s="21">
        <f>test3[[#This Row],[vesting_shares]]/$B$31</f>
        <v>10.465</v>
      </c>
      <c r="I87" s="22">
        <v>42930.925833333335</v>
      </c>
      <c r="J87" s="23">
        <f ca="1">_xlfn.DAYS(TODAY(),test3[[#This Row],[timestamp]])</f>
        <v>143</v>
      </c>
      <c r="K87" s="20">
        <v>20930</v>
      </c>
    </row>
    <row r="88" spans="4:11" ht="21" x14ac:dyDescent="0.35">
      <c r="D88" s="20">
        <v>68221</v>
      </c>
      <c r="E88" s="20">
        <v>61400031</v>
      </c>
      <c r="F88" s="20" t="s">
        <v>93</v>
      </c>
      <c r="G88" s="20" t="s">
        <v>18</v>
      </c>
      <c r="H88" s="21">
        <f>test3[[#This Row],[vesting_shares]]/$B$31</f>
        <v>20.673099199999999</v>
      </c>
      <c r="I88" s="22">
        <v>42930.875381944446</v>
      </c>
      <c r="J88" s="23">
        <f ca="1">_xlfn.DAYS(TODAY(),test3[[#This Row],[timestamp]])</f>
        <v>143</v>
      </c>
      <c r="K88" s="20">
        <v>41346.198400000001</v>
      </c>
    </row>
    <row r="89" spans="4:11" ht="21" x14ac:dyDescent="0.35">
      <c r="D89" s="20">
        <v>68215</v>
      </c>
      <c r="E89" s="20">
        <v>61341355</v>
      </c>
      <c r="F89" s="20" t="s">
        <v>94</v>
      </c>
      <c r="G89" s="20" t="s">
        <v>18</v>
      </c>
      <c r="H89" s="21">
        <f>test3[[#This Row],[vesting_shares]]/$B$31</f>
        <v>10.382999999999999</v>
      </c>
      <c r="I89" s="22">
        <v>42930.781388888892</v>
      </c>
      <c r="J89" s="23">
        <f ca="1">_xlfn.DAYS(TODAY(),test3[[#This Row],[timestamp]])</f>
        <v>143</v>
      </c>
      <c r="K89" s="20">
        <v>20766</v>
      </c>
    </row>
    <row r="90" spans="4:11" ht="21" x14ac:dyDescent="0.35">
      <c r="D90" s="20">
        <v>68214</v>
      </c>
      <c r="E90" s="20">
        <v>61332934</v>
      </c>
      <c r="F90" s="20" t="s">
        <v>95</v>
      </c>
      <c r="G90" s="20" t="s">
        <v>18</v>
      </c>
      <c r="H90" s="21">
        <f>test3[[#This Row],[vesting_shares]]/$B$31</f>
        <v>10.336608650000001</v>
      </c>
      <c r="I90" s="22">
        <v>42930.769583333335</v>
      </c>
      <c r="J90" s="23">
        <f ca="1">_xlfn.DAYS(TODAY(),test3[[#This Row],[timestamp]])</f>
        <v>143</v>
      </c>
      <c r="K90" s="20">
        <v>20673.2173</v>
      </c>
    </row>
    <row r="91" spans="4:11" ht="21" x14ac:dyDescent="0.35">
      <c r="D91" s="20">
        <v>68208</v>
      </c>
      <c r="E91" s="20">
        <v>61282394</v>
      </c>
      <c r="F91" s="20" t="s">
        <v>96</v>
      </c>
      <c r="G91" s="20" t="s">
        <v>18</v>
      </c>
      <c r="H91" s="21">
        <f>test3[[#This Row],[vesting_shares]]/$B$31</f>
        <v>10.3366445</v>
      </c>
      <c r="I91" s="22">
        <v>42930.704062500001</v>
      </c>
      <c r="J91" s="23">
        <f ca="1">_xlfn.DAYS(TODAY(),test3[[#This Row],[timestamp]])</f>
        <v>143</v>
      </c>
      <c r="K91" s="20">
        <v>20673.289000000001</v>
      </c>
    </row>
    <row r="92" spans="4:11" ht="21" x14ac:dyDescent="0.35">
      <c r="D92" s="20">
        <v>67966</v>
      </c>
      <c r="E92" s="20">
        <v>60271825</v>
      </c>
      <c r="F92" s="20" t="s">
        <v>97</v>
      </c>
      <c r="G92" s="20" t="s">
        <v>18</v>
      </c>
      <c r="H92" s="21">
        <f>test3[[#This Row],[vesting_shares]]/$B$31</f>
        <v>10.33751535</v>
      </c>
      <c r="I92" s="22">
        <v>42929.129131944443</v>
      </c>
      <c r="J92" s="23">
        <f ca="1">_xlfn.DAYS(TODAY(),test3[[#This Row],[timestamp]])</f>
        <v>144</v>
      </c>
      <c r="K92" s="20">
        <v>20675.030699999999</v>
      </c>
    </row>
    <row r="93" spans="4:11" ht="21" x14ac:dyDescent="0.35">
      <c r="D93" s="20">
        <v>67965</v>
      </c>
      <c r="E93" s="20">
        <v>60261774</v>
      </c>
      <c r="F93" s="20" t="s">
        <v>98</v>
      </c>
      <c r="G93" s="20" t="s">
        <v>18</v>
      </c>
      <c r="H93" s="21">
        <f>test3[[#This Row],[vesting_shares]]/$B$31</f>
        <v>25.8438135</v>
      </c>
      <c r="I93" s="22">
        <v>42929.111006944448</v>
      </c>
      <c r="J93" s="23">
        <f ca="1">_xlfn.DAYS(TODAY(),test3[[#This Row],[timestamp]])</f>
        <v>144</v>
      </c>
      <c r="K93" s="20">
        <v>51687.627</v>
      </c>
    </row>
    <row r="94" spans="4:11" ht="21" x14ac:dyDescent="0.35">
      <c r="D94" s="20">
        <v>67843</v>
      </c>
      <c r="E94" s="20">
        <v>59554345</v>
      </c>
      <c r="F94" s="20" t="s">
        <v>99</v>
      </c>
      <c r="G94" s="20" t="s">
        <v>18</v>
      </c>
      <c r="H94" s="21">
        <f>test3[[#This Row],[vesting_shares]]/$B$31</f>
        <v>103.38129549999999</v>
      </c>
      <c r="I94" s="22">
        <v>42928.019479166665</v>
      </c>
      <c r="J94" s="23">
        <f ca="1">_xlfn.DAYS(TODAY(),test3[[#This Row],[timestamp]])</f>
        <v>145</v>
      </c>
      <c r="K94" s="20">
        <v>206762.59099999999</v>
      </c>
    </row>
    <row r="95" spans="4:11" ht="21" x14ac:dyDescent="0.35">
      <c r="D95" s="20">
        <v>67767</v>
      </c>
      <c r="E95" s="20">
        <v>58874853</v>
      </c>
      <c r="F95" s="20" t="s">
        <v>100</v>
      </c>
      <c r="G95" s="20" t="s">
        <v>18</v>
      </c>
      <c r="H95" s="21">
        <f>test3[[#This Row],[vesting_shares]]/$B$31</f>
        <v>51.693124949999998</v>
      </c>
      <c r="I95" s="22">
        <v>42927.126145833332</v>
      </c>
      <c r="J95" s="23">
        <f ca="1">_xlfn.DAYS(TODAY(),test3[[#This Row],[timestamp]])</f>
        <v>146</v>
      </c>
      <c r="K95" s="20">
        <v>103386.2499</v>
      </c>
    </row>
  </sheetData>
  <mergeCells count="2">
    <mergeCell ref="A1:XFD3"/>
    <mergeCell ref="A4:XFD6"/>
  </mergeCell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99DE-45EA-418C-98F5-ECE2CB6D60C3}">
  <sheetPr codeName="Sheet1"/>
  <dimension ref="K8:P140"/>
  <sheetViews>
    <sheetView workbookViewId="0">
      <selection activeCell="D6" sqref="C5:D6"/>
    </sheetView>
  </sheetViews>
  <sheetFormatPr baseColWidth="10" defaultColWidth="9.140625" defaultRowHeight="15" x14ac:dyDescent="0.25"/>
  <cols>
    <col min="11" max="11" width="7" bestFit="1" customWidth="1"/>
    <col min="12" max="12" width="10" bestFit="1" customWidth="1"/>
    <col min="13" max="13" width="18.7109375" bestFit="1" customWidth="1"/>
    <col min="14" max="14" width="12.28515625" bestFit="1" customWidth="1"/>
    <col min="15" max="15" width="16.5703125" bestFit="1" customWidth="1"/>
    <col min="16" max="16" width="15.85546875" bestFit="1" customWidth="1"/>
  </cols>
  <sheetData>
    <row r="8" spans="11:16" x14ac:dyDescent="0.25">
      <c r="K8" t="s">
        <v>0</v>
      </c>
      <c r="L8" t="s">
        <v>1</v>
      </c>
      <c r="M8" t="s">
        <v>2</v>
      </c>
      <c r="N8" t="s">
        <v>3</v>
      </c>
      <c r="O8" t="s">
        <v>4</v>
      </c>
      <c r="P8" t="s">
        <v>5</v>
      </c>
    </row>
    <row r="9" spans="11:16" x14ac:dyDescent="0.25">
      <c r="K9">
        <v>307767</v>
      </c>
      <c r="L9">
        <v>157712412</v>
      </c>
      <c r="M9" t="s">
        <v>19</v>
      </c>
      <c r="N9" t="s">
        <v>18</v>
      </c>
      <c r="O9">
        <v>0</v>
      </c>
      <c r="P9" s="3">
        <v>43072.166215277779</v>
      </c>
    </row>
    <row r="10" spans="11:16" x14ac:dyDescent="0.25">
      <c r="K10">
        <v>306772</v>
      </c>
      <c r="L10">
        <v>154569849</v>
      </c>
      <c r="M10" t="s">
        <v>20</v>
      </c>
      <c r="N10" t="s">
        <v>18</v>
      </c>
      <c r="O10">
        <v>103000</v>
      </c>
      <c r="P10" s="3">
        <v>43067.799444444441</v>
      </c>
    </row>
    <row r="11" spans="11:16" x14ac:dyDescent="0.25">
      <c r="K11">
        <v>306739</v>
      </c>
      <c r="L11">
        <v>154412742</v>
      </c>
      <c r="M11" t="s">
        <v>14</v>
      </c>
      <c r="N11" t="s">
        <v>18</v>
      </c>
      <c r="O11">
        <v>0</v>
      </c>
      <c r="P11" s="3">
        <v>43067.619340277779</v>
      </c>
    </row>
    <row r="12" spans="11:16" x14ac:dyDescent="0.25">
      <c r="K12">
        <v>306621</v>
      </c>
      <c r="L12">
        <v>153964036</v>
      </c>
      <c r="M12" t="s">
        <v>14</v>
      </c>
      <c r="N12" t="s">
        <v>18</v>
      </c>
      <c r="O12">
        <v>102634.3122</v>
      </c>
      <c r="P12" s="3">
        <v>43066.943124999998</v>
      </c>
    </row>
    <row r="13" spans="11:16" x14ac:dyDescent="0.25">
      <c r="K13">
        <v>306584</v>
      </c>
      <c r="L13">
        <v>153903442</v>
      </c>
      <c r="M13" t="s">
        <v>21</v>
      </c>
      <c r="N13" t="s">
        <v>18</v>
      </c>
      <c r="O13">
        <v>0</v>
      </c>
      <c r="P13" s="3">
        <v>43066.845937500002</v>
      </c>
    </row>
    <row r="14" spans="11:16" x14ac:dyDescent="0.25">
      <c r="K14">
        <v>304898</v>
      </c>
      <c r="L14">
        <v>148189581</v>
      </c>
      <c r="M14" t="s">
        <v>22</v>
      </c>
      <c r="N14" t="s">
        <v>18</v>
      </c>
      <c r="O14">
        <v>308029.30609999999</v>
      </c>
      <c r="P14" s="3">
        <v>43058.912986111114</v>
      </c>
    </row>
    <row r="15" spans="11:16" x14ac:dyDescent="0.25">
      <c r="K15">
        <v>303646</v>
      </c>
      <c r="L15">
        <v>144446794</v>
      </c>
      <c r="M15" t="s">
        <v>23</v>
      </c>
      <c r="N15" t="s">
        <v>18</v>
      </c>
      <c r="O15">
        <v>20540.752499999999</v>
      </c>
      <c r="P15" s="3">
        <v>43053.712604166663</v>
      </c>
    </row>
    <row r="16" spans="11:16" x14ac:dyDescent="0.25">
      <c r="K16">
        <v>303146</v>
      </c>
      <c r="L16">
        <v>142889502</v>
      </c>
      <c r="M16" t="s">
        <v>21</v>
      </c>
      <c r="N16" t="s">
        <v>18</v>
      </c>
      <c r="O16">
        <v>30814.3763</v>
      </c>
      <c r="P16" s="3">
        <v>43051.654270833336</v>
      </c>
    </row>
    <row r="17" spans="11:16" x14ac:dyDescent="0.25">
      <c r="K17">
        <v>302551</v>
      </c>
      <c r="L17">
        <v>141091923</v>
      </c>
      <c r="M17" t="s">
        <v>24</v>
      </c>
      <c r="N17" t="s">
        <v>18</v>
      </c>
      <c r="O17">
        <v>20545.838899999999</v>
      </c>
      <c r="P17" s="3">
        <v>43048.884756944448</v>
      </c>
    </row>
    <row r="18" spans="11:16" x14ac:dyDescent="0.25">
      <c r="K18">
        <v>302514</v>
      </c>
      <c r="L18">
        <v>140968192</v>
      </c>
      <c r="M18" t="s">
        <v>25</v>
      </c>
      <c r="N18" t="s">
        <v>18</v>
      </c>
      <c r="O18">
        <v>20681.7961</v>
      </c>
      <c r="P18" s="3">
        <v>43048.759548611109</v>
      </c>
    </row>
    <row r="19" spans="11:16" x14ac:dyDescent="0.25">
      <c r="K19">
        <v>302234</v>
      </c>
      <c r="L19">
        <v>140196224</v>
      </c>
      <c r="M19" t="s">
        <v>26</v>
      </c>
      <c r="N19" t="s">
        <v>18</v>
      </c>
      <c r="O19">
        <v>20547.297399999999</v>
      </c>
      <c r="P19" s="3">
        <v>43047.505868055552</v>
      </c>
    </row>
    <row r="20" spans="11:16" x14ac:dyDescent="0.25">
      <c r="K20">
        <v>301491</v>
      </c>
      <c r="L20">
        <v>137928209</v>
      </c>
      <c r="M20" t="s">
        <v>21</v>
      </c>
      <c r="N20" t="s">
        <v>18</v>
      </c>
      <c r="O20">
        <v>102755.1397</v>
      </c>
      <c r="P20" s="3">
        <v>43043.976944444446</v>
      </c>
    </row>
    <row r="21" spans="11:16" x14ac:dyDescent="0.25">
      <c r="K21">
        <v>300279</v>
      </c>
      <c r="L21">
        <v>133920484</v>
      </c>
      <c r="M21" t="s">
        <v>27</v>
      </c>
      <c r="N21" t="s">
        <v>18</v>
      </c>
      <c r="O21">
        <v>0</v>
      </c>
      <c r="P21" s="3">
        <v>43038.032430555555</v>
      </c>
    </row>
    <row r="22" spans="11:16" x14ac:dyDescent="0.25">
      <c r="K22">
        <v>299905</v>
      </c>
      <c r="L22">
        <v>132180544</v>
      </c>
      <c r="M22" t="s">
        <v>16</v>
      </c>
      <c r="N22" t="s">
        <v>18</v>
      </c>
      <c r="O22">
        <v>104284</v>
      </c>
      <c r="P22" s="3">
        <v>43035.508159722223</v>
      </c>
    </row>
    <row r="23" spans="11:16" x14ac:dyDescent="0.25">
      <c r="K23">
        <v>299121</v>
      </c>
      <c r="L23">
        <v>129660971</v>
      </c>
      <c r="M23" t="s">
        <v>28</v>
      </c>
      <c r="N23" t="s">
        <v>18</v>
      </c>
      <c r="O23">
        <v>206940.7942</v>
      </c>
      <c r="P23" s="3">
        <v>43030.887777777774</v>
      </c>
    </row>
    <row r="24" spans="11:16" x14ac:dyDescent="0.25">
      <c r="K24">
        <v>299007</v>
      </c>
      <c r="L24">
        <v>129195432</v>
      </c>
      <c r="M24" t="s">
        <v>29</v>
      </c>
      <c r="N24" t="s">
        <v>18</v>
      </c>
      <c r="O24">
        <v>20565.634600000001</v>
      </c>
      <c r="P24" s="3">
        <v>43030.147465277776</v>
      </c>
    </row>
    <row r="25" spans="11:16" x14ac:dyDescent="0.25">
      <c r="K25">
        <v>298843</v>
      </c>
      <c r="L25">
        <v>128367728</v>
      </c>
      <c r="M25" t="s">
        <v>30</v>
      </c>
      <c r="N25" t="s">
        <v>18</v>
      </c>
      <c r="O25">
        <v>0</v>
      </c>
      <c r="P25" s="3">
        <v>43028.877881944441</v>
      </c>
    </row>
    <row r="26" spans="11:16" x14ac:dyDescent="0.25">
      <c r="K26">
        <v>298691</v>
      </c>
      <c r="L26">
        <v>127690034</v>
      </c>
      <c r="M26" t="s">
        <v>31</v>
      </c>
      <c r="N26" t="s">
        <v>18</v>
      </c>
      <c r="O26">
        <v>20681.7961</v>
      </c>
      <c r="P26" s="3">
        <v>43027.717951388891</v>
      </c>
    </row>
    <row r="27" spans="11:16" x14ac:dyDescent="0.25">
      <c r="K27">
        <v>298406</v>
      </c>
      <c r="L27">
        <v>126711265</v>
      </c>
      <c r="M27" t="s">
        <v>32</v>
      </c>
      <c r="N27" t="s">
        <v>18</v>
      </c>
      <c r="O27">
        <v>0</v>
      </c>
      <c r="P27" s="3">
        <v>43026.298125000001</v>
      </c>
    </row>
    <row r="28" spans="11:16" x14ac:dyDescent="0.25">
      <c r="K28">
        <v>298190</v>
      </c>
      <c r="L28">
        <v>125612567</v>
      </c>
      <c r="M28" t="s">
        <v>33</v>
      </c>
      <c r="N28" t="s">
        <v>18</v>
      </c>
      <c r="O28">
        <v>20571.491099999999</v>
      </c>
      <c r="P28" s="3">
        <v>43024.590069444443</v>
      </c>
    </row>
    <row r="29" spans="11:16" x14ac:dyDescent="0.25">
      <c r="K29">
        <v>297922</v>
      </c>
      <c r="L29">
        <v>124537070</v>
      </c>
      <c r="M29" t="s">
        <v>34</v>
      </c>
      <c r="N29" t="s">
        <v>18</v>
      </c>
      <c r="O29">
        <v>20681.7961</v>
      </c>
      <c r="P29" s="3">
        <v>43022.914479166669</v>
      </c>
    </row>
    <row r="30" spans="11:16" x14ac:dyDescent="0.25">
      <c r="K30">
        <v>191729</v>
      </c>
      <c r="L30">
        <v>119430626</v>
      </c>
      <c r="M30" t="s">
        <v>27</v>
      </c>
      <c r="N30" t="s">
        <v>18</v>
      </c>
      <c r="O30">
        <v>205807.08559999999</v>
      </c>
      <c r="P30" s="3">
        <v>43015.842638888891</v>
      </c>
    </row>
    <row r="31" spans="11:16" x14ac:dyDescent="0.25">
      <c r="K31">
        <v>191432</v>
      </c>
      <c r="L31">
        <v>118035141</v>
      </c>
      <c r="M31" t="s">
        <v>20</v>
      </c>
      <c r="N31" t="s">
        <v>18</v>
      </c>
      <c r="O31">
        <v>20681.7961</v>
      </c>
      <c r="P31" s="3">
        <v>43013.75</v>
      </c>
    </row>
    <row r="32" spans="11:16" x14ac:dyDescent="0.25">
      <c r="K32">
        <v>191318</v>
      </c>
      <c r="L32">
        <v>117459935</v>
      </c>
      <c r="M32" t="s">
        <v>35</v>
      </c>
      <c r="N32" t="s">
        <v>18</v>
      </c>
      <c r="O32">
        <v>360214.68599999999</v>
      </c>
      <c r="P32" s="3">
        <v>43013.004826388889</v>
      </c>
    </row>
    <row r="33" spans="11:16" x14ac:dyDescent="0.25">
      <c r="K33">
        <v>190398</v>
      </c>
      <c r="L33">
        <v>113836532</v>
      </c>
      <c r="M33" t="s">
        <v>36</v>
      </c>
      <c r="N33" t="s">
        <v>18</v>
      </c>
      <c r="O33">
        <v>0</v>
      </c>
      <c r="P33" s="3">
        <v>43007.908333333333</v>
      </c>
    </row>
    <row r="34" spans="11:16" x14ac:dyDescent="0.25">
      <c r="K34">
        <v>190123</v>
      </c>
      <c r="L34">
        <v>112429971</v>
      </c>
      <c r="M34" t="s">
        <v>37</v>
      </c>
      <c r="N34" t="s">
        <v>18</v>
      </c>
      <c r="O34">
        <v>0</v>
      </c>
      <c r="P34" s="3">
        <v>43005.874305555553</v>
      </c>
    </row>
    <row r="35" spans="11:16" x14ac:dyDescent="0.25">
      <c r="K35">
        <v>189972</v>
      </c>
      <c r="L35">
        <v>111595087</v>
      </c>
      <c r="M35" t="s">
        <v>38</v>
      </c>
      <c r="N35" t="s">
        <v>18</v>
      </c>
      <c r="O35">
        <v>205924.99299999999</v>
      </c>
      <c r="P35" s="3">
        <v>43004.710625</v>
      </c>
    </row>
    <row r="36" spans="11:16" x14ac:dyDescent="0.25">
      <c r="K36">
        <v>189458</v>
      </c>
      <c r="L36">
        <v>108872798</v>
      </c>
      <c r="M36" t="s">
        <v>39</v>
      </c>
      <c r="N36" t="s">
        <v>18</v>
      </c>
      <c r="O36">
        <v>43172</v>
      </c>
      <c r="P36" s="3">
        <v>43000.692708333336</v>
      </c>
    </row>
    <row r="37" spans="11:16" x14ac:dyDescent="0.25">
      <c r="K37">
        <v>188978</v>
      </c>
      <c r="L37">
        <v>106573687</v>
      </c>
      <c r="M37" t="s">
        <v>40</v>
      </c>
      <c r="N37" t="s">
        <v>18</v>
      </c>
      <c r="O37">
        <v>20600.246500000001</v>
      </c>
      <c r="P37" s="3">
        <v>42997.574444444443</v>
      </c>
    </row>
    <row r="38" spans="11:16" x14ac:dyDescent="0.25">
      <c r="K38">
        <v>188321</v>
      </c>
      <c r="L38">
        <v>103523668</v>
      </c>
      <c r="M38" t="s">
        <v>41</v>
      </c>
      <c r="N38" t="s">
        <v>18</v>
      </c>
      <c r="O38">
        <v>20604.976200000001</v>
      </c>
      <c r="P38" s="3">
        <v>42993.255590277775</v>
      </c>
    </row>
    <row r="39" spans="11:16" x14ac:dyDescent="0.25">
      <c r="K39">
        <v>188151</v>
      </c>
      <c r="L39">
        <v>102627896</v>
      </c>
      <c r="M39" t="s">
        <v>42</v>
      </c>
      <c r="N39" t="s">
        <v>18</v>
      </c>
      <c r="O39">
        <v>20606.458600000002</v>
      </c>
      <c r="P39" s="3">
        <v>42991.903055555558</v>
      </c>
    </row>
    <row r="40" spans="11:16" x14ac:dyDescent="0.25">
      <c r="K40">
        <v>188145</v>
      </c>
      <c r="L40">
        <v>102597225</v>
      </c>
      <c r="M40" t="s">
        <v>37</v>
      </c>
      <c r="N40" t="s">
        <v>18</v>
      </c>
      <c r="O40">
        <v>206065.08869999999</v>
      </c>
      <c r="P40" s="3">
        <v>42991.854270833333</v>
      </c>
    </row>
    <row r="41" spans="11:16" x14ac:dyDescent="0.25">
      <c r="K41">
        <v>187917</v>
      </c>
      <c r="L41">
        <v>101457101</v>
      </c>
      <c r="M41" t="s">
        <v>32</v>
      </c>
      <c r="N41" t="s">
        <v>18</v>
      </c>
      <c r="O41">
        <v>20607.960299999999</v>
      </c>
      <c r="P41" s="3">
        <v>42990.526076388887</v>
      </c>
    </row>
    <row r="42" spans="11:16" x14ac:dyDescent="0.25">
      <c r="K42">
        <v>187710</v>
      </c>
      <c r="L42">
        <v>100644061</v>
      </c>
      <c r="M42" t="s">
        <v>43</v>
      </c>
      <c r="N42" t="s">
        <v>18</v>
      </c>
      <c r="O42">
        <v>22670.106800000001</v>
      </c>
      <c r="P42" s="3">
        <v>42989.402118055557</v>
      </c>
    </row>
    <row r="43" spans="11:16" x14ac:dyDescent="0.25">
      <c r="K43">
        <v>187698</v>
      </c>
      <c r="L43">
        <v>100612713</v>
      </c>
      <c r="M43" t="s">
        <v>44</v>
      </c>
      <c r="N43" t="s">
        <v>18</v>
      </c>
      <c r="O43">
        <v>22670.174999999999</v>
      </c>
      <c r="P43" s="3">
        <v>42989.344409722224</v>
      </c>
    </row>
    <row r="44" spans="11:16" x14ac:dyDescent="0.25">
      <c r="K44">
        <v>187527</v>
      </c>
      <c r="L44">
        <v>99798645</v>
      </c>
      <c r="M44" t="s">
        <v>45</v>
      </c>
      <c r="N44" t="s">
        <v>18</v>
      </c>
      <c r="O44">
        <v>20610.5085</v>
      </c>
      <c r="P44" s="3">
        <v>42988.193402777775</v>
      </c>
    </row>
    <row r="45" spans="11:16" x14ac:dyDescent="0.25">
      <c r="K45">
        <v>187458</v>
      </c>
      <c r="L45">
        <v>99416558</v>
      </c>
      <c r="M45" t="s">
        <v>46</v>
      </c>
      <c r="N45" t="s">
        <v>18</v>
      </c>
      <c r="O45">
        <v>0</v>
      </c>
      <c r="P45" s="3">
        <v>42987.645590277774</v>
      </c>
    </row>
    <row r="46" spans="11:16" x14ac:dyDescent="0.25">
      <c r="K46">
        <v>187236</v>
      </c>
      <c r="L46">
        <v>98332808</v>
      </c>
      <c r="M46" t="s">
        <v>47</v>
      </c>
      <c r="N46" t="s">
        <v>18</v>
      </c>
      <c r="O46">
        <v>20612.561600000001</v>
      </c>
      <c r="P46" s="3">
        <v>42986.309166666666</v>
      </c>
    </row>
    <row r="47" spans="11:16" x14ac:dyDescent="0.25">
      <c r="K47">
        <v>187114</v>
      </c>
      <c r="L47">
        <v>97599728</v>
      </c>
      <c r="M47" t="s">
        <v>48</v>
      </c>
      <c r="N47" t="s">
        <v>18</v>
      </c>
      <c r="O47">
        <v>412270.91700000002</v>
      </c>
      <c r="P47" s="3">
        <v>42985.41</v>
      </c>
    </row>
    <row r="48" spans="11:16" x14ac:dyDescent="0.25">
      <c r="K48">
        <v>187060</v>
      </c>
      <c r="L48">
        <v>97247713</v>
      </c>
      <c r="M48" t="s">
        <v>19</v>
      </c>
      <c r="N48" t="s">
        <v>18</v>
      </c>
      <c r="O48">
        <v>669956.27130000002</v>
      </c>
      <c r="P48" s="3">
        <v>42984.955833333333</v>
      </c>
    </row>
    <row r="49" spans="11:16" x14ac:dyDescent="0.25">
      <c r="K49">
        <v>186860</v>
      </c>
      <c r="L49">
        <v>96192301</v>
      </c>
      <c r="M49" t="s">
        <v>49</v>
      </c>
      <c r="N49" t="s">
        <v>18</v>
      </c>
      <c r="O49">
        <v>0</v>
      </c>
      <c r="P49" s="3">
        <v>42983.535763888889</v>
      </c>
    </row>
    <row r="50" spans="11:16" x14ac:dyDescent="0.25">
      <c r="K50">
        <v>186852</v>
      </c>
      <c r="L50">
        <v>96163512</v>
      </c>
      <c r="M50" t="s">
        <v>17</v>
      </c>
      <c r="N50" t="s">
        <v>18</v>
      </c>
      <c r="O50">
        <v>51539.096899999997</v>
      </c>
      <c r="P50" s="3">
        <v>42983.491319444445</v>
      </c>
    </row>
    <row r="51" spans="11:16" x14ac:dyDescent="0.25">
      <c r="K51">
        <v>186814</v>
      </c>
      <c r="L51">
        <v>95996791</v>
      </c>
      <c r="M51" t="s">
        <v>50</v>
      </c>
      <c r="N51" t="s">
        <v>18</v>
      </c>
      <c r="O51">
        <v>0</v>
      </c>
      <c r="P51" s="3">
        <v>42983.221041666664</v>
      </c>
    </row>
    <row r="52" spans="11:16" x14ac:dyDescent="0.25">
      <c r="K52">
        <v>186747</v>
      </c>
      <c r="L52">
        <v>95754998</v>
      </c>
      <c r="M52" t="s">
        <v>51</v>
      </c>
      <c r="N52" t="s">
        <v>18</v>
      </c>
      <c r="O52">
        <v>0</v>
      </c>
      <c r="P52" s="3">
        <v>42982.825833333336</v>
      </c>
    </row>
    <row r="53" spans="11:16" x14ac:dyDescent="0.25">
      <c r="K53">
        <v>186734</v>
      </c>
      <c r="L53">
        <v>95731897</v>
      </c>
      <c r="M53" t="s">
        <v>35</v>
      </c>
      <c r="N53" t="s">
        <v>18</v>
      </c>
      <c r="O53">
        <v>258522.45110000001</v>
      </c>
      <c r="P53" s="3">
        <v>42982.794999999998</v>
      </c>
    </row>
    <row r="54" spans="11:16" x14ac:dyDescent="0.25">
      <c r="K54">
        <v>186569</v>
      </c>
      <c r="L54">
        <v>95084050</v>
      </c>
      <c r="M54" t="s">
        <v>52</v>
      </c>
      <c r="N54" t="s">
        <v>18</v>
      </c>
      <c r="O54">
        <v>20617.450799999999</v>
      </c>
      <c r="P54" s="3">
        <v>42981.829618055555</v>
      </c>
    </row>
    <row r="55" spans="11:16" x14ac:dyDescent="0.25">
      <c r="K55">
        <v>186205</v>
      </c>
      <c r="L55">
        <v>93678194</v>
      </c>
      <c r="M55" t="s">
        <v>53</v>
      </c>
      <c r="N55" t="s">
        <v>18</v>
      </c>
      <c r="O55">
        <v>20619.7183</v>
      </c>
      <c r="P55" s="3">
        <v>42979.746076388888</v>
      </c>
    </row>
    <row r="56" spans="11:16" x14ac:dyDescent="0.25">
      <c r="K56">
        <v>186005</v>
      </c>
      <c r="L56">
        <v>92319882</v>
      </c>
      <c r="M56" t="s">
        <v>30</v>
      </c>
      <c r="N56" t="s">
        <v>18</v>
      </c>
      <c r="O56">
        <v>618652.7942</v>
      </c>
      <c r="P56" s="3">
        <v>42977.86986111111</v>
      </c>
    </row>
    <row r="57" spans="11:16" x14ac:dyDescent="0.25">
      <c r="K57">
        <v>185986</v>
      </c>
      <c r="L57">
        <v>92248454</v>
      </c>
      <c r="M57" t="s">
        <v>30</v>
      </c>
      <c r="N57" t="s">
        <v>18</v>
      </c>
      <c r="O57">
        <v>0</v>
      </c>
      <c r="P57" s="3">
        <v>42977.778958333336</v>
      </c>
    </row>
    <row r="58" spans="11:16" x14ac:dyDescent="0.25">
      <c r="K58">
        <v>185953</v>
      </c>
      <c r="L58">
        <v>91976681</v>
      </c>
      <c r="M58" t="s">
        <v>54</v>
      </c>
      <c r="N58" t="s">
        <v>18</v>
      </c>
      <c r="O58">
        <v>41244.411</v>
      </c>
      <c r="P58" s="3">
        <v>42977.460868055554</v>
      </c>
    </row>
    <row r="59" spans="11:16" x14ac:dyDescent="0.25">
      <c r="K59">
        <v>185934</v>
      </c>
      <c r="L59">
        <v>91895193</v>
      </c>
      <c r="M59" t="s">
        <v>55</v>
      </c>
      <c r="N59" t="s">
        <v>18</v>
      </c>
      <c r="O59">
        <v>4124.4660999999996</v>
      </c>
      <c r="P59" s="3">
        <v>42977.346388888887</v>
      </c>
    </row>
    <row r="60" spans="11:16" x14ac:dyDescent="0.25">
      <c r="K60">
        <v>185875</v>
      </c>
      <c r="L60">
        <v>91670195</v>
      </c>
      <c r="M60" t="s">
        <v>56</v>
      </c>
      <c r="N60" t="s">
        <v>18</v>
      </c>
      <c r="O60">
        <v>41245.405500000001</v>
      </c>
      <c r="P60" s="3">
        <v>42977.005590277775</v>
      </c>
    </row>
    <row r="61" spans="11:16" x14ac:dyDescent="0.25">
      <c r="K61">
        <v>185776</v>
      </c>
      <c r="L61">
        <v>91009737</v>
      </c>
      <c r="M61" t="s">
        <v>57</v>
      </c>
      <c r="N61" t="s">
        <v>18</v>
      </c>
      <c r="O61">
        <v>51559.352500000001</v>
      </c>
      <c r="P61" s="3">
        <v>42976.049444444441</v>
      </c>
    </row>
    <row r="62" spans="11:16" x14ac:dyDescent="0.25">
      <c r="K62">
        <v>185715</v>
      </c>
      <c r="L62">
        <v>90711441</v>
      </c>
      <c r="M62" t="s">
        <v>35</v>
      </c>
      <c r="N62" t="s">
        <v>18</v>
      </c>
      <c r="O62">
        <v>206241.84580000001</v>
      </c>
      <c r="P62" s="3">
        <v>42975.640069444446</v>
      </c>
    </row>
    <row r="63" spans="11:16" x14ac:dyDescent="0.25">
      <c r="K63">
        <v>185686</v>
      </c>
      <c r="L63">
        <v>90511173</v>
      </c>
      <c r="M63" t="s">
        <v>58</v>
      </c>
      <c r="N63" t="s">
        <v>18</v>
      </c>
      <c r="O63">
        <v>206244.64499999999</v>
      </c>
      <c r="P63" s="3">
        <v>42975.381597222222</v>
      </c>
    </row>
    <row r="64" spans="11:16" x14ac:dyDescent="0.25">
      <c r="K64">
        <v>185346</v>
      </c>
      <c r="L64">
        <v>88777073</v>
      </c>
      <c r="M64" t="s">
        <v>59</v>
      </c>
      <c r="N64" t="s">
        <v>18</v>
      </c>
      <c r="O64">
        <v>206273.08350000001</v>
      </c>
      <c r="P64" s="3">
        <v>42972.767152777778</v>
      </c>
    </row>
    <row r="65" spans="11:16" x14ac:dyDescent="0.25">
      <c r="K65">
        <v>185318</v>
      </c>
      <c r="L65">
        <v>88585304</v>
      </c>
      <c r="M65" t="s">
        <v>60</v>
      </c>
      <c r="N65" t="s">
        <v>18</v>
      </c>
      <c r="O65">
        <v>20627.5494</v>
      </c>
      <c r="P65" s="3">
        <v>42972.54583333333</v>
      </c>
    </row>
    <row r="66" spans="11:16" x14ac:dyDescent="0.25">
      <c r="K66">
        <v>185294</v>
      </c>
      <c r="L66">
        <v>88463519</v>
      </c>
      <c r="M66" t="s">
        <v>61</v>
      </c>
      <c r="N66" t="s">
        <v>18</v>
      </c>
      <c r="O66">
        <v>20627.709599999998</v>
      </c>
      <c r="P66" s="3">
        <v>42972.398263888892</v>
      </c>
    </row>
    <row r="67" spans="11:16" x14ac:dyDescent="0.25">
      <c r="K67">
        <v>185289</v>
      </c>
      <c r="L67">
        <v>88426878</v>
      </c>
      <c r="M67" t="s">
        <v>62</v>
      </c>
      <c r="N67" t="s">
        <v>18</v>
      </c>
      <c r="O67">
        <v>206940.7942</v>
      </c>
      <c r="P67" s="3">
        <v>42972.345486111109</v>
      </c>
    </row>
    <row r="68" spans="11:16" x14ac:dyDescent="0.25">
      <c r="K68">
        <v>185250</v>
      </c>
      <c r="L68">
        <v>88023785</v>
      </c>
      <c r="M68" t="s">
        <v>63</v>
      </c>
      <c r="N68" t="s">
        <v>18</v>
      </c>
      <c r="O68">
        <v>144398.66500000001</v>
      </c>
      <c r="P68" s="3">
        <v>42971.782395833332</v>
      </c>
    </row>
    <row r="69" spans="11:16" x14ac:dyDescent="0.25">
      <c r="K69">
        <v>185119</v>
      </c>
      <c r="L69">
        <v>87310795</v>
      </c>
      <c r="M69" t="s">
        <v>64</v>
      </c>
      <c r="N69" t="s">
        <v>18</v>
      </c>
      <c r="O69">
        <v>0</v>
      </c>
      <c r="P69" s="3">
        <v>42970.814965277779</v>
      </c>
    </row>
    <row r="70" spans="11:16" x14ac:dyDescent="0.25">
      <c r="K70">
        <v>185085</v>
      </c>
      <c r="L70">
        <v>87070526</v>
      </c>
      <c r="M70" t="s">
        <v>48</v>
      </c>
      <c r="N70" t="s">
        <v>18</v>
      </c>
      <c r="O70">
        <v>103148.60400000001</v>
      </c>
      <c r="P70" s="3">
        <v>42970.554201388892</v>
      </c>
    </row>
    <row r="71" spans="11:16" x14ac:dyDescent="0.25">
      <c r="K71">
        <v>185077</v>
      </c>
      <c r="L71">
        <v>87035576</v>
      </c>
      <c r="M71" t="s">
        <v>48</v>
      </c>
      <c r="N71" t="s">
        <v>18</v>
      </c>
      <c r="O71">
        <v>61889.303200000002</v>
      </c>
      <c r="P71" s="3">
        <v>42970.511250000003</v>
      </c>
    </row>
    <row r="72" spans="11:16" x14ac:dyDescent="0.25">
      <c r="K72">
        <v>185073</v>
      </c>
      <c r="L72">
        <v>86989510</v>
      </c>
      <c r="M72" t="s">
        <v>65</v>
      </c>
      <c r="N72" t="s">
        <v>18</v>
      </c>
      <c r="O72">
        <v>0</v>
      </c>
      <c r="P72" s="3">
        <v>42970.451354166667</v>
      </c>
    </row>
    <row r="73" spans="11:16" x14ac:dyDescent="0.25">
      <c r="K73">
        <v>185046</v>
      </c>
      <c r="L73">
        <v>86804384</v>
      </c>
      <c r="M73" t="s">
        <v>63</v>
      </c>
      <c r="N73" t="s">
        <v>18</v>
      </c>
      <c r="O73">
        <v>103150.59179999999</v>
      </c>
      <c r="P73" s="3">
        <v>42970.189236111109</v>
      </c>
    </row>
    <row r="74" spans="11:16" x14ac:dyDescent="0.25">
      <c r="K74">
        <v>184984</v>
      </c>
      <c r="L74">
        <v>86532634</v>
      </c>
      <c r="M74" t="s">
        <v>64</v>
      </c>
      <c r="N74" t="s">
        <v>18</v>
      </c>
      <c r="O74">
        <v>10315.2786</v>
      </c>
      <c r="P74" s="3">
        <v>42969.785763888889</v>
      </c>
    </row>
    <row r="75" spans="11:16" x14ac:dyDescent="0.25">
      <c r="K75">
        <v>184977</v>
      </c>
      <c r="L75">
        <v>86512786</v>
      </c>
      <c r="M75" t="s">
        <v>13</v>
      </c>
      <c r="N75" t="s">
        <v>18</v>
      </c>
      <c r="O75">
        <v>206305.85769999999</v>
      </c>
      <c r="P75" s="3">
        <v>42969.759513888886</v>
      </c>
    </row>
    <row r="76" spans="11:16" x14ac:dyDescent="0.25">
      <c r="K76">
        <v>184976</v>
      </c>
      <c r="L76">
        <v>86512076</v>
      </c>
      <c r="M76" t="s">
        <v>13</v>
      </c>
      <c r="N76" t="s">
        <v>18</v>
      </c>
      <c r="O76">
        <v>1237835.2054000001</v>
      </c>
      <c r="P76" s="3">
        <v>42969.758715277778</v>
      </c>
    </row>
    <row r="77" spans="11:16" x14ac:dyDescent="0.25">
      <c r="K77">
        <v>184961</v>
      </c>
      <c r="L77">
        <v>86453928</v>
      </c>
      <c r="M77" t="s">
        <v>66</v>
      </c>
      <c r="N77" t="s">
        <v>18</v>
      </c>
      <c r="O77">
        <v>30945.993900000001</v>
      </c>
      <c r="P77" s="3">
        <v>42969.689513888887</v>
      </c>
    </row>
    <row r="78" spans="11:16" x14ac:dyDescent="0.25">
      <c r="K78">
        <v>184957</v>
      </c>
      <c r="L78">
        <v>86440469</v>
      </c>
      <c r="M78" t="s">
        <v>67</v>
      </c>
      <c r="N78" t="s">
        <v>18</v>
      </c>
      <c r="O78">
        <v>206306.79930000001</v>
      </c>
      <c r="P78" s="3">
        <v>42969.673125000001</v>
      </c>
    </row>
    <row r="79" spans="11:16" x14ac:dyDescent="0.25">
      <c r="K79">
        <v>184952</v>
      </c>
      <c r="L79">
        <v>86389295</v>
      </c>
      <c r="M79" t="s">
        <v>51</v>
      </c>
      <c r="N79" t="s">
        <v>18</v>
      </c>
      <c r="O79">
        <v>41261.494700000003</v>
      </c>
      <c r="P79" s="3">
        <v>42969.611527777779</v>
      </c>
    </row>
    <row r="80" spans="11:16" x14ac:dyDescent="0.25">
      <c r="K80">
        <v>184940</v>
      </c>
      <c r="L80">
        <v>86350846</v>
      </c>
      <c r="M80" t="s">
        <v>48</v>
      </c>
      <c r="N80" t="s">
        <v>18</v>
      </c>
      <c r="O80">
        <v>41261.599800000004</v>
      </c>
      <c r="P80" s="3">
        <v>42969.564131944448</v>
      </c>
    </row>
    <row r="81" spans="11:16" x14ac:dyDescent="0.25">
      <c r="K81">
        <v>184852</v>
      </c>
      <c r="L81">
        <v>85839842</v>
      </c>
      <c r="M81" t="s">
        <v>17</v>
      </c>
      <c r="N81" t="s">
        <v>18</v>
      </c>
      <c r="O81">
        <v>30947.554599999999</v>
      </c>
      <c r="P81" s="3">
        <v>42968.736111111109</v>
      </c>
    </row>
    <row r="82" spans="11:16" x14ac:dyDescent="0.25">
      <c r="K82">
        <v>184747</v>
      </c>
      <c r="L82">
        <v>85406142</v>
      </c>
      <c r="M82" t="s">
        <v>68</v>
      </c>
      <c r="N82" t="s">
        <v>18</v>
      </c>
      <c r="O82">
        <v>0</v>
      </c>
      <c r="P82" s="3">
        <v>42968.095520833333</v>
      </c>
    </row>
    <row r="83" spans="11:16" x14ac:dyDescent="0.25">
      <c r="K83">
        <v>184673</v>
      </c>
      <c r="L83">
        <v>85007404</v>
      </c>
      <c r="M83" t="s">
        <v>69</v>
      </c>
      <c r="N83" t="s">
        <v>18</v>
      </c>
      <c r="O83">
        <v>0</v>
      </c>
      <c r="P83" s="3">
        <v>42967.448576388888</v>
      </c>
    </row>
    <row r="84" spans="11:16" x14ac:dyDescent="0.25">
      <c r="K84">
        <v>184654</v>
      </c>
      <c r="L84">
        <v>84920758</v>
      </c>
      <c r="M84" t="s">
        <v>70</v>
      </c>
      <c r="N84" t="s">
        <v>18</v>
      </c>
      <c r="O84">
        <v>20633.325400000002</v>
      </c>
      <c r="P84" s="3">
        <v>42967.251319444447</v>
      </c>
    </row>
    <row r="85" spans="11:16" x14ac:dyDescent="0.25">
      <c r="K85">
        <v>184283</v>
      </c>
      <c r="L85">
        <v>83754557</v>
      </c>
      <c r="M85" t="s">
        <v>14</v>
      </c>
      <c r="N85" t="s">
        <v>18</v>
      </c>
      <c r="O85">
        <v>0</v>
      </c>
      <c r="P85" s="3">
        <v>42964.975798611114</v>
      </c>
    </row>
    <row r="86" spans="11:16" x14ac:dyDescent="0.25">
      <c r="K86">
        <v>184261</v>
      </c>
      <c r="L86">
        <v>83635915</v>
      </c>
      <c r="M86" t="s">
        <v>64</v>
      </c>
      <c r="N86" t="s">
        <v>18</v>
      </c>
      <c r="O86">
        <v>0</v>
      </c>
      <c r="P86" s="3">
        <v>42964.771874999999</v>
      </c>
    </row>
    <row r="87" spans="11:16" x14ac:dyDescent="0.25">
      <c r="K87">
        <v>183923</v>
      </c>
      <c r="L87">
        <v>82348749</v>
      </c>
      <c r="M87" t="s">
        <v>19</v>
      </c>
      <c r="N87" t="s">
        <v>18</v>
      </c>
      <c r="O87">
        <v>206382.02369999999</v>
      </c>
      <c r="P87" s="3">
        <v>42962.780486111114</v>
      </c>
    </row>
    <row r="88" spans="11:16" x14ac:dyDescent="0.25">
      <c r="K88">
        <v>183851</v>
      </c>
      <c r="L88">
        <v>82064773</v>
      </c>
      <c r="M88" t="s">
        <v>49</v>
      </c>
      <c r="N88" t="s">
        <v>18</v>
      </c>
      <c r="O88">
        <v>515962.42420000001</v>
      </c>
      <c r="P88" s="3">
        <v>42962.509444444448</v>
      </c>
    </row>
    <row r="89" spans="11:16" x14ac:dyDescent="0.25">
      <c r="K89">
        <v>183726</v>
      </c>
      <c r="L89">
        <v>81667272</v>
      </c>
      <c r="M89" t="s">
        <v>71</v>
      </c>
      <c r="N89" t="s">
        <v>18</v>
      </c>
      <c r="O89">
        <v>20639.317999999999</v>
      </c>
      <c r="P89" s="3">
        <v>42961.756006944444</v>
      </c>
    </row>
    <row r="90" spans="11:16" x14ac:dyDescent="0.25">
      <c r="K90">
        <v>183713</v>
      </c>
      <c r="L90">
        <v>81609558</v>
      </c>
      <c r="M90" t="s">
        <v>72</v>
      </c>
      <c r="N90" t="s">
        <v>18</v>
      </c>
      <c r="O90">
        <v>227033.5098</v>
      </c>
      <c r="P90" s="3">
        <v>42961.671284722222</v>
      </c>
    </row>
    <row r="91" spans="11:16" x14ac:dyDescent="0.25">
      <c r="K91">
        <v>183380</v>
      </c>
      <c r="L91">
        <v>80127652</v>
      </c>
      <c r="M91" t="s">
        <v>65</v>
      </c>
      <c r="N91" t="s">
        <v>18</v>
      </c>
      <c r="O91">
        <v>20641.776099999999</v>
      </c>
      <c r="P91" s="3">
        <v>42959.476701388892</v>
      </c>
    </row>
    <row r="92" spans="11:16" x14ac:dyDescent="0.25">
      <c r="K92">
        <v>183215</v>
      </c>
      <c r="L92">
        <v>79191134</v>
      </c>
      <c r="M92" t="s">
        <v>15</v>
      </c>
      <c r="N92" t="s">
        <v>18</v>
      </c>
      <c r="O92">
        <v>144503.58470000001</v>
      </c>
      <c r="P92" s="3">
        <v>42958.015625</v>
      </c>
    </row>
    <row r="93" spans="11:16" x14ac:dyDescent="0.25">
      <c r="K93">
        <v>182710</v>
      </c>
      <c r="L93">
        <v>76573931</v>
      </c>
      <c r="M93" t="s">
        <v>73</v>
      </c>
      <c r="N93" t="s">
        <v>18</v>
      </c>
      <c r="O93">
        <v>20646.8554</v>
      </c>
      <c r="P93" s="3">
        <v>42954.819618055553</v>
      </c>
    </row>
    <row r="94" spans="11:16" x14ac:dyDescent="0.25">
      <c r="K94">
        <v>182693</v>
      </c>
      <c r="L94">
        <v>76507769</v>
      </c>
      <c r="M94" t="s">
        <v>46</v>
      </c>
      <c r="N94" t="s">
        <v>18</v>
      </c>
      <c r="O94">
        <v>22711.647799999999</v>
      </c>
      <c r="P94" s="3">
        <v>42954.73027777778</v>
      </c>
    </row>
    <row r="95" spans="11:16" x14ac:dyDescent="0.25">
      <c r="K95">
        <v>182599</v>
      </c>
      <c r="L95">
        <v>75990691</v>
      </c>
      <c r="M95" t="s">
        <v>74</v>
      </c>
      <c r="N95" t="s">
        <v>18</v>
      </c>
      <c r="O95">
        <v>20647.971699999998</v>
      </c>
      <c r="P95" s="3">
        <v>42953.797569444447</v>
      </c>
    </row>
    <row r="96" spans="11:16" x14ac:dyDescent="0.25">
      <c r="K96">
        <v>182453</v>
      </c>
      <c r="L96">
        <v>75414457</v>
      </c>
      <c r="M96" t="s">
        <v>75</v>
      </c>
      <c r="N96" t="s">
        <v>18</v>
      </c>
      <c r="O96">
        <v>21985</v>
      </c>
      <c r="P96" s="3">
        <v>42952.826354166667</v>
      </c>
    </row>
    <row r="97" spans="11:16" x14ac:dyDescent="0.25">
      <c r="K97">
        <v>182361</v>
      </c>
      <c r="L97">
        <v>74771745</v>
      </c>
      <c r="M97" t="s">
        <v>76</v>
      </c>
      <c r="N97" t="s">
        <v>18</v>
      </c>
      <c r="O97">
        <v>516252.1091</v>
      </c>
      <c r="P97" s="3">
        <v>42951.863576388889</v>
      </c>
    </row>
    <row r="98" spans="11:16" x14ac:dyDescent="0.25">
      <c r="K98">
        <v>70396</v>
      </c>
      <c r="L98">
        <v>73808891</v>
      </c>
      <c r="M98" t="s">
        <v>77</v>
      </c>
      <c r="N98" t="s">
        <v>18</v>
      </c>
      <c r="O98">
        <v>20651.6525</v>
      </c>
      <c r="P98" s="3">
        <v>42950.420729166668</v>
      </c>
    </row>
    <row r="99" spans="11:16" x14ac:dyDescent="0.25">
      <c r="K99">
        <v>70353</v>
      </c>
      <c r="L99">
        <v>73627485</v>
      </c>
      <c r="M99" t="s">
        <v>78</v>
      </c>
      <c r="N99" t="s">
        <v>18</v>
      </c>
      <c r="O99">
        <v>309780.78350000002</v>
      </c>
      <c r="P99" s="3">
        <v>42950.055347222224</v>
      </c>
    </row>
    <row r="100" spans="11:16" x14ac:dyDescent="0.25">
      <c r="K100">
        <v>70350</v>
      </c>
      <c r="L100">
        <v>73618985</v>
      </c>
      <c r="M100" t="s">
        <v>78</v>
      </c>
      <c r="N100" t="s">
        <v>18</v>
      </c>
      <c r="O100">
        <v>206520.6986</v>
      </c>
      <c r="P100" s="3">
        <v>42950.040486111109</v>
      </c>
    </row>
    <row r="101" spans="11:16" x14ac:dyDescent="0.25">
      <c r="K101">
        <v>70279</v>
      </c>
      <c r="L101">
        <v>73216696</v>
      </c>
      <c r="M101" t="s">
        <v>79</v>
      </c>
      <c r="N101" t="s">
        <v>18</v>
      </c>
      <c r="O101">
        <v>258159.77669999999</v>
      </c>
      <c r="P101" s="3">
        <v>42949.389930555553</v>
      </c>
    </row>
    <row r="102" spans="11:16" x14ac:dyDescent="0.25">
      <c r="K102">
        <v>70220</v>
      </c>
      <c r="L102">
        <v>72995088</v>
      </c>
      <c r="M102" t="s">
        <v>80</v>
      </c>
      <c r="N102" t="s">
        <v>18</v>
      </c>
      <c r="O102">
        <v>21514</v>
      </c>
      <c r="P102" s="3">
        <v>42949.057118055556</v>
      </c>
    </row>
    <row r="103" spans="11:16" x14ac:dyDescent="0.25">
      <c r="K103">
        <v>69852</v>
      </c>
      <c r="L103">
        <v>71385720</v>
      </c>
      <c r="M103" t="s">
        <v>81</v>
      </c>
      <c r="N103" t="s">
        <v>18</v>
      </c>
      <c r="O103">
        <v>206557.84700000001</v>
      </c>
      <c r="P103" s="3">
        <v>42946.645798611113</v>
      </c>
    </row>
    <row r="104" spans="11:16" x14ac:dyDescent="0.25">
      <c r="K104">
        <v>69779</v>
      </c>
      <c r="L104">
        <v>70761789</v>
      </c>
      <c r="M104" t="s">
        <v>82</v>
      </c>
      <c r="N104" t="s">
        <v>18</v>
      </c>
      <c r="O104">
        <v>20657.043300000001</v>
      </c>
      <c r="P104" s="3">
        <v>42945.49454861111</v>
      </c>
    </row>
    <row r="105" spans="11:16" x14ac:dyDescent="0.25">
      <c r="K105">
        <v>69769</v>
      </c>
      <c r="L105">
        <v>70673756</v>
      </c>
      <c r="M105" t="s">
        <v>83</v>
      </c>
      <c r="N105" t="s">
        <v>18</v>
      </c>
      <c r="O105">
        <v>0</v>
      </c>
      <c r="P105" s="3">
        <v>42945.336701388886</v>
      </c>
    </row>
    <row r="106" spans="11:16" x14ac:dyDescent="0.25">
      <c r="K106">
        <v>69681</v>
      </c>
      <c r="L106">
        <v>70013112</v>
      </c>
      <c r="M106" t="s">
        <v>30</v>
      </c>
      <c r="N106" t="s">
        <v>18</v>
      </c>
      <c r="O106">
        <v>165267.0661</v>
      </c>
      <c r="P106" s="3">
        <v>42944.268090277779</v>
      </c>
    </row>
    <row r="107" spans="11:16" x14ac:dyDescent="0.25">
      <c r="K107">
        <v>69537</v>
      </c>
      <c r="L107">
        <v>69329982</v>
      </c>
      <c r="M107" t="s">
        <v>84</v>
      </c>
      <c r="N107" t="s">
        <v>18</v>
      </c>
      <c r="O107">
        <v>51649.137799999997</v>
      </c>
      <c r="P107" s="3">
        <v>42943.104756944442</v>
      </c>
    </row>
    <row r="108" spans="11:16" x14ac:dyDescent="0.25">
      <c r="K108">
        <v>69409</v>
      </c>
      <c r="L108">
        <v>68645708</v>
      </c>
      <c r="M108" t="s">
        <v>69</v>
      </c>
      <c r="N108" t="s">
        <v>18</v>
      </c>
      <c r="O108">
        <v>41321.1008</v>
      </c>
      <c r="P108" s="3">
        <v>42942.283750000002</v>
      </c>
    </row>
    <row r="109" spans="11:16" x14ac:dyDescent="0.25">
      <c r="K109">
        <v>69309</v>
      </c>
      <c r="L109">
        <v>67902275</v>
      </c>
      <c r="M109" t="s">
        <v>46</v>
      </c>
      <c r="N109" t="s">
        <v>18</v>
      </c>
      <c r="O109">
        <v>206615.54440000001</v>
      </c>
      <c r="P109" s="3">
        <v>42941.361562500002</v>
      </c>
    </row>
    <row r="110" spans="11:16" x14ac:dyDescent="0.25">
      <c r="K110">
        <v>69307</v>
      </c>
      <c r="L110">
        <v>67899751</v>
      </c>
      <c r="M110" t="s">
        <v>46</v>
      </c>
      <c r="N110" t="s">
        <v>18</v>
      </c>
      <c r="O110">
        <v>144630.9031</v>
      </c>
      <c r="P110" s="3">
        <v>42941.358680555553</v>
      </c>
    </row>
    <row r="111" spans="11:16" x14ac:dyDescent="0.25">
      <c r="K111">
        <v>69294</v>
      </c>
      <c r="L111">
        <v>67807774</v>
      </c>
      <c r="M111" t="s">
        <v>85</v>
      </c>
      <c r="N111" t="s">
        <v>18</v>
      </c>
      <c r="O111">
        <v>20661.694100000001</v>
      </c>
      <c r="P111" s="3">
        <v>42941.23364583333</v>
      </c>
    </row>
    <row r="112" spans="11:16" x14ac:dyDescent="0.25">
      <c r="K112">
        <v>69271</v>
      </c>
      <c r="L112">
        <v>67667521</v>
      </c>
      <c r="M112" t="s">
        <v>86</v>
      </c>
      <c r="N112" t="s">
        <v>18</v>
      </c>
      <c r="O112">
        <v>20661.9591</v>
      </c>
      <c r="P112" s="3">
        <v>42940.990381944444</v>
      </c>
    </row>
    <row r="113" spans="11:16" x14ac:dyDescent="0.25">
      <c r="K113">
        <v>69266</v>
      </c>
      <c r="L113">
        <v>67633045</v>
      </c>
      <c r="M113" t="s">
        <v>87</v>
      </c>
      <c r="N113" t="s">
        <v>18</v>
      </c>
      <c r="O113">
        <v>20662.015800000001</v>
      </c>
      <c r="P113" s="3">
        <v>42940.939097222225</v>
      </c>
    </row>
    <row r="114" spans="11:16" x14ac:dyDescent="0.25">
      <c r="K114">
        <v>69261</v>
      </c>
      <c r="L114">
        <v>67588954</v>
      </c>
      <c r="M114" t="s">
        <v>88</v>
      </c>
      <c r="N114" t="s">
        <v>18</v>
      </c>
      <c r="O114">
        <v>20662.077300000001</v>
      </c>
      <c r="P114" s="3">
        <v>42940.881909722222</v>
      </c>
    </row>
    <row r="115" spans="11:16" x14ac:dyDescent="0.25">
      <c r="K115">
        <v>69238</v>
      </c>
      <c r="L115">
        <v>67445124</v>
      </c>
      <c r="M115" t="s">
        <v>15</v>
      </c>
      <c r="N115" t="s">
        <v>18</v>
      </c>
      <c r="O115">
        <v>41324.5245</v>
      </c>
      <c r="P115" s="3">
        <v>42940.712847222225</v>
      </c>
    </row>
    <row r="116" spans="11:16" x14ac:dyDescent="0.25">
      <c r="K116">
        <v>69237</v>
      </c>
      <c r="L116">
        <v>67440819</v>
      </c>
      <c r="M116" t="s">
        <v>89</v>
      </c>
      <c r="N116" t="s">
        <v>18</v>
      </c>
      <c r="O116">
        <v>20662.266800000001</v>
      </c>
      <c r="P116" s="3">
        <v>42940.708437499998</v>
      </c>
    </row>
    <row r="117" spans="11:16" x14ac:dyDescent="0.25">
      <c r="K117">
        <v>68935</v>
      </c>
      <c r="L117">
        <v>64956047</v>
      </c>
      <c r="M117" t="s">
        <v>67</v>
      </c>
      <c r="N117" t="s">
        <v>18</v>
      </c>
      <c r="O117">
        <v>103332.3682</v>
      </c>
      <c r="P117" s="3">
        <v>42936.860208333332</v>
      </c>
    </row>
    <row r="118" spans="11:16" x14ac:dyDescent="0.25">
      <c r="K118">
        <v>68888</v>
      </c>
      <c r="L118">
        <v>64476803</v>
      </c>
      <c r="M118" t="s">
        <v>90</v>
      </c>
      <c r="N118" t="s">
        <v>18</v>
      </c>
      <c r="O118">
        <v>20667.356899999999</v>
      </c>
      <c r="P118" s="3">
        <v>42936.056770833333</v>
      </c>
    </row>
    <row r="119" spans="11:16" x14ac:dyDescent="0.25">
      <c r="K119">
        <v>68626</v>
      </c>
      <c r="L119">
        <v>63292832</v>
      </c>
      <c r="M119" t="s">
        <v>50</v>
      </c>
      <c r="N119" t="s">
        <v>18</v>
      </c>
      <c r="O119">
        <v>206696.20610000001</v>
      </c>
      <c r="P119" s="3">
        <v>42934.013680555552</v>
      </c>
    </row>
    <row r="120" spans="11:16" x14ac:dyDescent="0.25">
      <c r="K120">
        <v>68493</v>
      </c>
      <c r="L120">
        <v>62867853</v>
      </c>
      <c r="M120" t="s">
        <v>91</v>
      </c>
      <c r="N120" t="s">
        <v>18</v>
      </c>
      <c r="O120">
        <v>51676.035499999998</v>
      </c>
      <c r="P120" s="3">
        <v>42933.299409722225</v>
      </c>
    </row>
    <row r="121" spans="11:16" x14ac:dyDescent="0.25">
      <c r="K121">
        <v>68483</v>
      </c>
      <c r="L121">
        <v>62829456</v>
      </c>
      <c r="M121" t="s">
        <v>35</v>
      </c>
      <c r="N121" t="s">
        <v>18</v>
      </c>
      <c r="O121">
        <v>20670.525799999999</v>
      </c>
      <c r="P121" s="3">
        <v>42933.198159722226</v>
      </c>
    </row>
    <row r="122" spans="11:16" x14ac:dyDescent="0.25">
      <c r="K122">
        <v>68343</v>
      </c>
      <c r="L122">
        <v>62175257</v>
      </c>
      <c r="M122" t="s">
        <v>64</v>
      </c>
      <c r="N122" t="s">
        <v>18</v>
      </c>
      <c r="O122">
        <v>20671.805799999998</v>
      </c>
      <c r="P122" s="3">
        <v>42932.048680555556</v>
      </c>
    </row>
    <row r="123" spans="11:16" x14ac:dyDescent="0.25">
      <c r="K123">
        <v>68242</v>
      </c>
      <c r="L123">
        <v>61496805</v>
      </c>
      <c r="M123" t="s">
        <v>36</v>
      </c>
      <c r="N123" t="s">
        <v>18</v>
      </c>
      <c r="O123">
        <v>413458.3124</v>
      </c>
      <c r="P123" s="3">
        <v>42931.041770833333</v>
      </c>
    </row>
    <row r="124" spans="11:16" x14ac:dyDescent="0.25">
      <c r="K124">
        <v>68231</v>
      </c>
      <c r="L124">
        <v>61431555</v>
      </c>
      <c r="M124" t="s">
        <v>92</v>
      </c>
      <c r="N124" t="s">
        <v>18</v>
      </c>
      <c r="O124">
        <v>20930</v>
      </c>
      <c r="P124" s="3">
        <v>42930.925833333335</v>
      </c>
    </row>
    <row r="125" spans="11:16" x14ac:dyDescent="0.25">
      <c r="K125">
        <v>68221</v>
      </c>
      <c r="L125">
        <v>61400031</v>
      </c>
      <c r="M125" t="s">
        <v>93</v>
      </c>
      <c r="N125" t="s">
        <v>18</v>
      </c>
      <c r="O125">
        <v>41346.198400000001</v>
      </c>
      <c r="P125" s="3">
        <v>42930.875381944446</v>
      </c>
    </row>
    <row r="126" spans="11:16" x14ac:dyDescent="0.25">
      <c r="K126">
        <v>68215</v>
      </c>
      <c r="L126">
        <v>61341355</v>
      </c>
      <c r="M126" t="s">
        <v>94</v>
      </c>
      <c r="N126" t="s">
        <v>18</v>
      </c>
      <c r="O126">
        <v>20766</v>
      </c>
      <c r="P126" s="3">
        <v>42930.781388888892</v>
      </c>
    </row>
    <row r="127" spans="11:16" x14ac:dyDescent="0.25">
      <c r="K127">
        <v>68214</v>
      </c>
      <c r="L127">
        <v>61332934</v>
      </c>
      <c r="M127" t="s">
        <v>95</v>
      </c>
      <c r="N127" t="s">
        <v>18</v>
      </c>
      <c r="O127">
        <v>20673.2173</v>
      </c>
      <c r="P127" s="3">
        <v>42930.769583333335</v>
      </c>
    </row>
    <row r="128" spans="11:16" x14ac:dyDescent="0.25">
      <c r="K128">
        <v>68208</v>
      </c>
      <c r="L128">
        <v>61282394</v>
      </c>
      <c r="M128" t="s">
        <v>96</v>
      </c>
      <c r="N128" t="s">
        <v>18</v>
      </c>
      <c r="O128">
        <v>20673.289000000001</v>
      </c>
      <c r="P128" s="3">
        <v>42930.704062500001</v>
      </c>
    </row>
    <row r="129" spans="11:16" x14ac:dyDescent="0.25">
      <c r="K129">
        <v>68206</v>
      </c>
      <c r="L129">
        <v>61272736</v>
      </c>
      <c r="M129" t="s">
        <v>68</v>
      </c>
      <c r="N129" t="s">
        <v>18</v>
      </c>
      <c r="O129">
        <v>20673.301899999999</v>
      </c>
      <c r="P129" s="3">
        <v>42930.692986111113</v>
      </c>
    </row>
    <row r="130" spans="11:16" x14ac:dyDescent="0.25">
      <c r="K130">
        <v>68087</v>
      </c>
      <c r="L130">
        <v>60576473</v>
      </c>
      <c r="M130" t="s">
        <v>46</v>
      </c>
      <c r="N130" t="s">
        <v>18</v>
      </c>
      <c r="O130">
        <v>62023.429100000001</v>
      </c>
      <c r="P130" s="3">
        <v>42929.629340277781</v>
      </c>
    </row>
    <row r="131" spans="11:16" x14ac:dyDescent="0.25">
      <c r="K131">
        <v>67976</v>
      </c>
      <c r="L131">
        <v>60376940</v>
      </c>
      <c r="M131" t="s">
        <v>46</v>
      </c>
      <c r="N131" t="s">
        <v>18</v>
      </c>
      <c r="O131">
        <v>20674.825199999999</v>
      </c>
      <c r="P131" s="3">
        <v>42929.314756944441</v>
      </c>
    </row>
    <row r="132" spans="11:16" x14ac:dyDescent="0.25">
      <c r="K132">
        <v>67966</v>
      </c>
      <c r="L132">
        <v>60271825</v>
      </c>
      <c r="M132" t="s">
        <v>97</v>
      </c>
      <c r="N132" t="s">
        <v>18</v>
      </c>
      <c r="O132">
        <v>20675.030699999999</v>
      </c>
      <c r="P132" s="3">
        <v>42929.129131944443</v>
      </c>
    </row>
    <row r="133" spans="11:16" x14ac:dyDescent="0.25">
      <c r="K133">
        <v>67965</v>
      </c>
      <c r="L133">
        <v>60261774</v>
      </c>
      <c r="M133" t="s">
        <v>98</v>
      </c>
      <c r="N133" t="s">
        <v>18</v>
      </c>
      <c r="O133">
        <v>51687.627</v>
      </c>
      <c r="P133" s="3">
        <v>42929.111006944448</v>
      </c>
    </row>
    <row r="134" spans="11:16" x14ac:dyDescent="0.25">
      <c r="K134">
        <v>67843</v>
      </c>
      <c r="L134">
        <v>59554345</v>
      </c>
      <c r="M134" t="s">
        <v>99</v>
      </c>
      <c r="N134" t="s">
        <v>18</v>
      </c>
      <c r="O134">
        <v>206762.59099999999</v>
      </c>
      <c r="P134" s="3">
        <v>42928.019479166665</v>
      </c>
    </row>
    <row r="135" spans="11:16" x14ac:dyDescent="0.25">
      <c r="K135">
        <v>67841</v>
      </c>
      <c r="L135">
        <v>59548693</v>
      </c>
      <c r="M135" t="s">
        <v>13</v>
      </c>
      <c r="N135" t="s">
        <v>18</v>
      </c>
      <c r="O135">
        <v>1033813.4489</v>
      </c>
      <c r="P135" s="3">
        <v>42928.01121527778</v>
      </c>
    </row>
    <row r="136" spans="11:16" x14ac:dyDescent="0.25">
      <c r="K136">
        <v>67827</v>
      </c>
      <c r="L136">
        <v>59366112</v>
      </c>
      <c r="M136" t="s">
        <v>83</v>
      </c>
      <c r="N136" t="s">
        <v>18</v>
      </c>
      <c r="O136">
        <v>206765.0404</v>
      </c>
      <c r="P136" s="3">
        <v>42927.798368055555</v>
      </c>
    </row>
    <row r="137" spans="11:16" x14ac:dyDescent="0.25">
      <c r="K137">
        <v>67816</v>
      </c>
      <c r="L137">
        <v>59310591</v>
      </c>
      <c r="M137" t="s">
        <v>14</v>
      </c>
      <c r="N137" t="s">
        <v>18</v>
      </c>
      <c r="O137">
        <v>217104.19589999999</v>
      </c>
      <c r="P137" s="3">
        <v>42927.720694444448</v>
      </c>
    </row>
    <row r="138" spans="11:16" x14ac:dyDescent="0.25">
      <c r="K138">
        <v>67815</v>
      </c>
      <c r="L138">
        <v>59296445</v>
      </c>
      <c r="M138" t="s">
        <v>14</v>
      </c>
      <c r="N138" t="s">
        <v>18</v>
      </c>
      <c r="O138">
        <v>10338.3056</v>
      </c>
      <c r="P138" s="3">
        <v>42927.701527777775</v>
      </c>
    </row>
    <row r="139" spans="11:16" x14ac:dyDescent="0.25">
      <c r="K139">
        <v>67767</v>
      </c>
      <c r="L139">
        <v>58874853</v>
      </c>
      <c r="M139" t="s">
        <v>100</v>
      </c>
      <c r="N139" t="s">
        <v>18</v>
      </c>
      <c r="O139">
        <v>103386.2499</v>
      </c>
      <c r="P139" s="3">
        <v>42927.126145833332</v>
      </c>
    </row>
    <row r="140" spans="11:16" x14ac:dyDescent="0.25">
      <c r="K140">
        <v>67687</v>
      </c>
      <c r="L140">
        <v>58240915</v>
      </c>
      <c r="M140" t="s">
        <v>14</v>
      </c>
      <c r="N140" t="s">
        <v>18</v>
      </c>
      <c r="O140">
        <v>206783.82819999999</v>
      </c>
      <c r="P140" s="3">
        <v>42926.099062499998</v>
      </c>
    </row>
  </sheetData>
  <conditionalFormatting sqref="O8:O14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SQL</vt:lpstr>
      <vt:lpstr>JSonRPC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VBoxW7</dc:creator>
  <cp:lastModifiedBy>VBoxW7</cp:lastModifiedBy>
  <dcterms:created xsi:type="dcterms:W3CDTF">2017-11-29T16:56:18Z</dcterms:created>
  <dcterms:modified xsi:type="dcterms:W3CDTF">2017-12-04T21:23:12Z</dcterms:modified>
</cp:coreProperties>
</file>